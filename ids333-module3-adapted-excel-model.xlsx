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8fb16ad7efa4885" /></Relationships>
</file>

<file path=xl/workbook.xml><?xml version="1.0" encoding="utf-8"?>
<x:workbook xmlns:x="http://schemas.openxmlformats.org/spreadsheetml/2006/main">
  <x:sheets>
    <x:sheet xmlns:r="http://schemas.openxmlformats.org/officeDocument/2006/relationships" name="START HERE" sheetId="1" r:id="R2509cc930de14185"/>
    <x:sheet xmlns:r="http://schemas.openxmlformats.org/officeDocument/2006/relationships" name="Inputs" sheetId="2" r:id="R1acbdc030f8c4165"/>
    <x:sheet xmlns:r="http://schemas.openxmlformats.org/officeDocument/2006/relationships" name="Deterministic" sheetId="3" r:id="Rd49810627ae1446a"/>
    <x:sheet xmlns:r="http://schemas.openxmlformats.org/officeDocument/2006/relationships" name="Scenario Explorer" sheetId="4" r:id="Rb76be2a0dbc744df"/>
    <x:sheet xmlns:r="http://schemas.openxmlformats.org/officeDocument/2006/relationships" name="Flexible Design" sheetId="5" r:id="Rfba80925ca584a47"/>
    <x:sheet xmlns:r="http://schemas.openxmlformats.org/officeDocument/2006/relationships" name="Compare" sheetId="6" r:id="R834812106c6d430e"/>
    <x:sheet xmlns:r="http://schemas.openxmlformats.org/officeDocument/2006/relationships" name="Scenario Grid" sheetId="7" r:id="R64aae72430f34bd0"/>
    <x:sheet xmlns:r="http://schemas.openxmlformats.org/officeDocument/2006/relationships" name="Checks" sheetId="8" r:id="R770175a0b7ba41f7"/>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Red]($#,##0);-"/>
    <x:numFmt numFmtId="201" formatCode="0.0%;[Red](0.0%);-"/>
    <x:numFmt numFmtId="202" formatCode="$0.00,,&quot;m&quot;;[Red]($0.00,,&quot;m&quot;);-"/>
    <x:numFmt numFmtId="203" formatCode="#,##0;[Red](#,##0);-"/>
    <x:numFmt numFmtId="204" formatCode="0.000"/>
    <x:numFmt numFmtId="205" formatCode="0.00x"/>
  </x:numFmts>
  <x:fonts count="12">
    <x:font>
      <x:sz val="11"/>
      <x:name val="Carlito"/>
    </x:font>
    <x:font>
      <x:b/>
      <x:sz val="20"/>
      <x:color rgb="FFFFFFFF"/>
      <x:name val="Carlito"/>
    </x:font>
    <x:font>
      <x:b/>
      <x:sz val="12"/>
      <x:color rgb="FF1F4E78"/>
      <x:name val="Carlito"/>
    </x:font>
    <x:font>
      <x:b/>
      <x:sz val="12"/>
      <x:color rgb="FFFFFFFF"/>
      <x:name val="Carlito"/>
    </x:font>
    <x:font>
      <x:b/>
      <x:sz val="11"/>
      <x:color rgb="FFFFFFFF"/>
      <x:name val="Carlito"/>
    </x:font>
    <x:font>
      <x:b/>
      <x:sz val="11"/>
      <x:color rgb="FF1F4E78"/>
      <x:name val="Carlito"/>
    </x:font>
    <x:font>
      <x:b/>
      <x:sz val="11"/>
      <x:name val="Carlito"/>
    </x:font>
    <x:font>
      <x:b/>
      <x:sz val="11"/>
      <x:color rgb="FF0000FF"/>
      <x:name val="Carlito"/>
    </x:font>
    <x:font>
      <x:i/>
      <x:sz val="10"/>
      <x:color rgb="FF000000"/>
      <x:name val="Carlito"/>
    </x:font>
    <x:font>
      <x:sz val="11"/>
      <x:color rgb="FF000000"/>
      <x:name val="Carlito"/>
    </x:font>
    <x:font>
      <x:b/>
      <x:sz val="11"/>
      <x:color rgb="FF000000"/>
      <x:name val="Carlito"/>
    </x:font>
    <x:font>
      <x:b/>
      <x:sz val="14"/>
      <x:color rgb="FF000000"/>
      <x:name val="Carlito"/>
    </x:font>
  </x:fonts>
  <x:fills count="9">
    <x:fill>
      <x:patternFill patternType="none"/>
    </x:fill>
    <x:fill>
      <x:patternFill patternType="gray125"/>
    </x:fill>
    <x:fill>
      <x:patternFill patternType="solid">
        <x:fgColor rgb="FF17365D"/>
      </x:patternFill>
    </x:fill>
    <x:fill>
      <x:patternFill patternType="solid">
        <x:fgColor rgb="FF1F4E78"/>
      </x:patternFill>
    </x:fill>
    <x:fill>
      <x:patternFill patternType="solid">
        <x:fgColor rgb="FF0F6B78"/>
      </x:patternFill>
    </x:fill>
    <x:fill>
      <x:patternFill patternType="solid">
        <x:fgColor rgb="FFFFF2CC"/>
      </x:patternFill>
    </x:fill>
    <x:fill>
      <x:patternFill patternType="solid">
        <x:fgColor rgb="FFF2F2F2"/>
      </x:patternFill>
    </x:fill>
    <x:fill>
      <x:patternFill patternType="solid">
        <x:fgColor rgb="FFE2F0D9"/>
      </x:patternFill>
    </x:fill>
    <x:fill>
      <x:patternFill patternType="solid">
        <x:fgColor rgb="FFFCE4D6"/>
      </x:patternFill>
    </x:fill>
  </x:fills>
  <x:borders count="26">
    <x:border/>
    <x:border>
      <x:left style="thin">
        <x:color rgb="FFD9E2F3"/>
      </x:left>
      <x:right style="thin">
        <x:color rgb="FFD9E2F3"/>
      </x:right>
      <x:top style="thin">
        <x:color rgb="FFD9E2F3"/>
      </x:top>
      <x:bottom style="thin">
        <x:color rgb="FFD9E2F3"/>
      </x:bottom>
    </x:border>
    <x:border>
      <x:left style="thin">
        <x:color rgb="FFD6B656"/>
      </x:left>
      <x:right style="thin">
        <x:color rgb="FFD6B656"/>
      </x:right>
      <x:top style="thin">
        <x:color rgb="FFD6B656"/>
      </x:top>
      <x:bottom style="thin">
        <x:color rgb="FFD6B656"/>
      </x:bottom>
    </x:border>
    <x:border>
      <x:left style="thin">
        <x:color rgb="FFD9E2F3"/>
      </x:left>
      <x:top style="thin">
        <x:color rgb="FFD9E2F3"/>
      </x:top>
    </x:border>
    <x:border>
      <x:top style="thin">
        <x:color rgb="FFD9E2F3"/>
      </x:top>
    </x:border>
    <x:border>
      <x:right style="thin">
        <x:color rgb="FFD9E2F3"/>
      </x:right>
      <x:top style="thin">
        <x:color rgb="FFD9E2F3"/>
      </x:top>
    </x:border>
    <x:border>
      <x:left style="thin">
        <x:color rgb="FFD9E2F3"/>
      </x:left>
    </x:border>
    <x:border>
      <x:right style="thin">
        <x:color rgb="FFD9E2F3"/>
      </x:right>
    </x:border>
    <x:border>
      <x:left style="thin">
        <x:color rgb="FFD9E2F3"/>
      </x:left>
      <x:bottom style="thin">
        <x:color rgb="FFD9E2F3"/>
      </x:bottom>
    </x:border>
    <x:border>
      <x:bottom style="thin">
        <x:color rgb="FFD9E2F3"/>
      </x:bottom>
    </x:border>
    <x:border>
      <x:right style="thin">
        <x:color rgb="FFD9E2F3"/>
      </x:right>
      <x:bottom style="thin">
        <x:color rgb="FFD9E2F3"/>
      </x:bottom>
    </x:border>
    <x:border>
      <x:left style="medium">
        <x:color rgb="FF70AD47"/>
      </x:left>
      <x:right style="medium">
        <x:color rgb="FF70AD47"/>
      </x:right>
      <x:top style="medium">
        <x:color rgb="FF70AD47"/>
      </x:top>
      <x:bottom style="medium">
        <x:color rgb="FF70AD47"/>
      </x:bottom>
    </x:border>
    <x:border>
      <x:left style="medium">
        <x:color rgb="FF70AD47"/>
      </x:left>
      <x:right style="medium">
        <x:color rgb="FF70AD47"/>
      </x:right>
      <x:top style="medium">
        <x:color rgb="FF70AD47"/>
      </x:top>
    </x:border>
    <x:border>
      <x:left style="medium">
        <x:color rgb="FF70AD47"/>
      </x:left>
      <x:right style="medium">
        <x:color rgb="FF70AD47"/>
      </x:right>
    </x:border>
    <x:border>
      <x:left style="medium">
        <x:color rgb="FF70AD47"/>
      </x:left>
      <x:right style="medium">
        <x:color rgb="FF70AD47"/>
      </x:right>
      <x:bottom style="medium">
        <x:color rgb="FF70AD47"/>
      </x:bottom>
    </x:border>
    <x:border>
      <x:left style="medium">
        <x:color rgb="FF70AD47"/>
      </x:left>
      <x:right style="medium">
        <x:color rgb="FF70AD47"/>
      </x:right>
      <x:top style="medium">
        <x:color rgb="FF70AD47"/>
      </x:top>
      <x:bottom style="thin">
        <x:color rgb="FFD9E2F3"/>
      </x:bottom>
    </x:border>
    <x:border>
      <x:left style="medium">
        <x:color rgb="FF70AD47"/>
      </x:left>
      <x:right style="medium">
        <x:color rgb="FF70AD47"/>
      </x:right>
      <x:top style="thin">
        <x:color rgb="FFD9E2F3"/>
      </x:top>
      <x:bottom style="thin">
        <x:color rgb="FFD9E2F3"/>
      </x:bottom>
    </x:border>
    <x:border>
      <x:left style="medium">
        <x:color rgb="FF70AD47"/>
      </x:left>
      <x:right style="medium">
        <x:color rgb="FF70AD47"/>
      </x:right>
      <x:top style="thin">
        <x:color rgb="FFD9E2F3"/>
      </x:top>
      <x:bottom style="medium">
        <x:color rgb="FF70AD47"/>
      </x:bottom>
    </x:border>
    <x:border>
      <x:left style="medium">
        <x:color rgb="FF70AD47"/>
      </x:left>
      <x:top style="medium">
        <x:color rgb="FF70AD47"/>
      </x:top>
    </x:border>
    <x:border>
      <x:top style="medium">
        <x:color rgb="FF70AD47"/>
      </x:top>
    </x:border>
    <x:border>
      <x:right style="medium">
        <x:color rgb="FF70AD47"/>
      </x:right>
      <x:top style="medium">
        <x:color rgb="FF70AD47"/>
      </x:top>
    </x:border>
    <x:border>
      <x:left style="medium">
        <x:color rgb="FF70AD47"/>
      </x:left>
    </x:border>
    <x:border>
      <x:right style="medium">
        <x:color rgb="FF70AD47"/>
      </x:right>
    </x:border>
    <x:border>
      <x:left style="medium">
        <x:color rgb="FF70AD47"/>
      </x:left>
      <x:bottom style="medium">
        <x:color rgb="FF70AD47"/>
      </x:bottom>
    </x:border>
    <x:border>
      <x:bottom style="medium">
        <x:color rgb="FF70AD47"/>
      </x:bottom>
    </x:border>
    <x:border>
      <x:right style="medium">
        <x:color rgb="FF70AD47"/>
      </x:right>
      <x:bottom style="medium">
        <x:color rgb="FF70AD47"/>
      </x:bottom>
    </x:border>
  </x:borders>
  <x:cellStyleXfs count="1">
    <x:xf numFmtId="0" fontId="0" fillId="0" borderId="0"/>
  </x:cellStyleXfs>
  <x:cellXfs count="12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2" fillId="0" borderId="0" xfId="0" applyNumberFormat="1" applyFont="1" applyFill="1" applyBorder="1"/>
    <x:xf numFmtId="0" fontId="2" fillId="0" borderId="0" xfId="0" applyNumberFormat="1" applyFont="1" applyFill="1" applyBorder="1" applyAlignment="1">
      <x:alignment wrapText="1"/>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vertical="center"/>
    </x:xf>
    <x:xf numFmtId="0" fontId="4" fillId="0" borderId="0" xfId="0" applyNumberFormat="1" applyFont="1" applyFill="1" applyBorder="1"/>
    <x:xf numFmtId="0" fontId="4" fillId="4" borderId="0" xfId="0" applyNumberFormat="1" applyFont="1" applyFill="1" applyBorder="1"/>
    <x:xf numFmtId="0" fontId="5" fillId="0" borderId="0" xfId="0" applyNumberFormat="1" applyFont="1" applyFill="1" applyBorder="1"/>
    <x:xf numFmtId="0" fontId="4" fillId="4" borderId="1" xfId="0" applyNumberFormat="1" applyFont="1" applyFill="1" applyBorder="1"/>
    <x:xf numFmtId="0" fontId="5" fillId="0" borderId="1" xfId="0" applyNumberFormat="1" applyFont="1" applyFill="1" applyBorder="1"/>
    <x:xf numFmtId="0" fontId="0" fillId="0" borderId="1" xfId="0" applyNumberFormat="1" applyFont="1" applyFill="1" applyBorder="1"/>
    <x:xf numFmtId="0" fontId="0" fillId="0" borderId="1" xfId="0" applyNumberFormat="1" applyFont="1" applyFill="1" applyBorder="1" applyAlignment="1">
      <x:alignment wrapText="1"/>
    </x:xf>
    <x:xf numFmtId="0" fontId="6" fillId="0" borderId="0" xfId="0" applyNumberFormat="1" applyFont="1" applyFill="1" applyBorder="1"/>
    <x:xf numFmtId="0" fontId="0" fillId="5" borderId="0" xfId="0" applyNumberFormat="1" applyFont="1" applyFill="1" applyBorder="1"/>
    <x:xf numFmtId="0" fontId="7" fillId="5" borderId="0" xfId="0" applyNumberFormat="1" applyFont="1" applyFill="1" applyBorder="1"/>
    <x:xf numFmtId="0" fontId="7" fillId="5" borderId="2" xfId="0" applyNumberFormat="1" applyFont="1" applyFill="1" applyBorder="1"/>
    <x:xf numFmtId="0" fontId="0" fillId="6" borderId="0" xfId="0" applyNumberFormat="1" applyFont="1" applyFill="1" applyBorder="1"/>
    <x:xf numFmtId="0" fontId="0" fillId="7" borderId="0" xfId="0" applyNumberFormat="1" applyFont="1" applyFill="1" applyBorder="1"/>
    <x:xf numFmtId="0" fontId="0" fillId="8" borderId="0" xfId="0" applyNumberFormat="1" applyFont="1" applyFill="1" applyBorder="1"/>
    <x:xf numFmtId="0" fontId="6" fillId="0" borderId="1" xfId="0" applyNumberFormat="1" applyFont="1" applyFill="1" applyBorder="1"/>
    <x:xf numFmtId="0" fontId="7" fillId="5" borderId="1" xfId="0" applyNumberFormat="1" applyFont="1" applyFill="1" applyBorder="1"/>
    <x:xf numFmtId="0" fontId="0" fillId="6" borderId="1" xfId="0" applyNumberFormat="1" applyFont="1" applyFill="1" applyBorder="1"/>
    <x:xf numFmtId="0" fontId="0" fillId="7" borderId="1" xfId="0" applyNumberFormat="1" applyFont="1" applyFill="1" applyBorder="1"/>
    <x:xf numFmtId="0" fontId="0" fillId="8" borderId="1" xfId="0" applyNumberFormat="1" applyFont="1" applyFill="1" applyBorder="1"/>
    <x:xf numFmtId="200" fontId="0" fillId="0" borderId="1" xfId="0" applyNumberFormat="1" applyFont="1" applyFill="1" applyBorder="1"/>
    <x:xf numFmtId="0" fontId="0" fillId="8" borderId="0"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0"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0" fillId="0" borderId="0" xfId="0" applyNumberFormat="1" applyFont="1" applyFill="1" applyBorder="1" applyAlignment="1">
      <x:alignment wrapText="1"/>
    </x:xf>
    <x:xf numFmtId="0" fontId="5" fillId="0" borderId="0" xfId="0" applyNumberFormat="1" applyFont="1" applyFill="1" applyBorder="1" applyAlignment="1">
      <x:alignment wrapText="1"/>
    </x:xf>
    <x:xf numFmtId="0" fontId="5" fillId="0" borderId="1" xfId="0" applyNumberFormat="1" applyFont="1" applyFill="1" applyBorder="1" applyAlignment="1">
      <x:alignment wrapText="1"/>
    </x:xf>
    <x:xf numFmtId="0" fontId="4" fillId="3" borderId="0" xfId="0" applyNumberFormat="1" applyFont="1" applyFill="1" applyBorder="1"/>
    <x:xf numFmtId="0" fontId="4" fillId="3" borderId="1" xfId="0" applyNumberFormat="1" applyFont="1" applyFill="1" applyBorder="1"/>
    <x:xf numFmtId="0" fontId="4" fillId="3" borderId="1" xfId="0" applyNumberFormat="1" applyFont="1" applyFill="1" applyBorder="1" applyAlignment="1">
      <x:alignment horizontal="center"/>
    </x:xf>
    <x:xf numFmtId="0" fontId="4" fillId="3" borderId="1" xfId="0" applyNumberFormat="1" applyFont="1" applyFill="1" applyBorder="1" applyAlignment="1">
      <x:alignment horizontal="center" wrapText="1"/>
    </x:xf>
    <x:xf numFmtId="200" fontId="7" fillId="5" borderId="2" xfId="0" applyNumberFormat="1" applyFont="1" applyFill="1" applyBorder="1"/>
    <x:xf numFmtId="200" fontId="3" fillId="3" borderId="0" xfId="0" applyNumberFormat="1" applyFont="1" applyFill="1" applyBorder="1" applyAlignment="1">
      <x:alignment vertical="center"/>
    </x:xf>
    <x:xf numFmtId="201" fontId="7" fillId="5" borderId="2" xfId="0" applyNumberFormat="1" applyFont="1" applyFill="1" applyBorder="1"/>
    <x:xf numFmtId="200" fontId="0" fillId="0" borderId="0" xfId="0" applyNumberFormat="1" applyFont="1" applyFill="1" applyBorder="1"/>
    <x:xf numFmtId="201" fontId="0" fillId="0" borderId="0" xfId="0" applyNumberFormat="1" applyFont="1" applyFill="1" applyBorder="1"/>
    <x:xf numFmtId="0" fontId="3" fillId="3" borderId="1" xfId="0" applyNumberFormat="1" applyFont="1" applyFill="1" applyBorder="1" applyAlignment="1">
      <x:alignment vertical="center"/>
    </x:xf>
    <x:xf numFmtId="200" fontId="7" fillId="5" borderId="1" xfId="0" applyNumberFormat="1" applyFont="1" applyFill="1" applyBorder="1"/>
    <x:xf numFmtId="200" fontId="3" fillId="3" borderId="1" xfId="0" applyNumberFormat="1" applyFont="1" applyFill="1" applyBorder="1" applyAlignment="1">
      <x:alignment vertical="center"/>
    </x:xf>
    <x:xf numFmtId="201" fontId="7" fillId="5" borderId="1" xfId="0" applyNumberFormat="1" applyFont="1" applyFill="1" applyBorder="1"/>
    <x:xf numFmtId="201" fontId="0" fillId="0" borderId="1" xfId="0" applyNumberFormat="1" applyFont="1" applyFill="1" applyBorder="1"/>
    <x:xf numFmtId="0" fontId="3" fillId="3" borderId="1" xfId="0" applyNumberFormat="1" applyFont="1" applyFill="1" applyBorder="1" applyAlignment="1">
      <x:alignment vertical="center" wrapText="1"/>
    </x:xf>
    <x:xf numFmtId="0" fontId="9" fillId="6" borderId="0" xfId="0" applyNumberFormat="1" applyFont="1" applyFill="1" applyBorder="1"/>
    <x:xf numFmtId="0" fontId="9" fillId="6" borderId="1" xfId="0" applyNumberFormat="1" applyFont="1" applyFill="1" applyBorder="1"/>
    <x:xf numFmtId="200" fontId="0" fillId="6" borderId="1" xfId="0" applyNumberFormat="1" applyFont="1" applyFill="1" applyBorder="1"/>
    <x:xf numFmtId="0" fontId="10" fillId="7" borderId="0" xfId="0" applyNumberFormat="1" applyFont="1" applyFill="1" applyBorder="1"/>
    <x:xf numFmtId="0" fontId="10" fillId="7" borderId="11" xfId="0" applyNumberFormat="1" applyFont="1" applyFill="1" applyBorder="1"/>
    <x:xf numFmtId="202" fontId="10" fillId="7" borderId="11" xfId="0" applyNumberFormat="1" applyFont="1" applyFill="1" applyBorder="1"/>
    <x:xf numFmtId="203" fontId="0" fillId="0" borderId="0" xfId="0" applyNumberFormat="1" applyFont="1" applyFill="1" applyBorder="1"/>
    <x:xf numFmtId="204" fontId="0" fillId="0" borderId="0" xfId="0" applyNumberFormat="1" applyFont="1" applyFill="1" applyBorder="1"/>
    <x:xf numFmtId="203" fontId="0" fillId="0" borderId="1" xfId="0" applyNumberFormat="1" applyFont="1" applyFill="1" applyBorder="1"/>
    <x:xf numFmtId="204" fontId="0" fillId="0" borderId="1" xfId="0" applyNumberFormat="1" applyFont="1" applyFill="1" applyBorder="1"/>
    <x:xf numFmtId="203" fontId="0" fillId="6" borderId="1" xfId="0" applyNumberFormat="1" applyFont="1" applyFill="1" applyBorder="1"/>
    <x:xf numFmtId="204" fontId="0" fillId="6" borderId="1" xfId="0" applyNumberFormat="1" applyFont="1" applyFill="1" applyBorder="1"/>
    <x:xf numFmtId="205" fontId="7" fillId="5" borderId="2" xfId="0" applyNumberFormat="1" applyFont="1" applyFill="1" applyBorder="1"/>
    <x:xf numFmtId="203" fontId="0" fillId="6" borderId="0" xfId="0" applyNumberFormat="1" applyFont="1" applyFill="1" applyBorder="1"/>
    <x:xf numFmtId="205" fontId="7" fillId="5" borderId="1" xfId="0" applyNumberFormat="1" applyFont="1" applyFill="1" applyBorder="1"/>
    <x:xf numFmtId="0" fontId="10" fillId="7" borderId="12" xfId="0" applyNumberFormat="1" applyFont="1" applyFill="1" applyBorder="1"/>
    <x:xf numFmtId="0" fontId="10" fillId="7" borderId="13" xfId="0" applyNumberFormat="1" applyFont="1" applyFill="1" applyBorder="1"/>
    <x:xf numFmtId="0" fontId="10" fillId="7" borderId="14" xfId="0" applyNumberFormat="1" applyFont="1" applyFill="1" applyBorder="1"/>
    <x:xf numFmtId="202" fontId="10" fillId="7" borderId="12" xfId="0" applyNumberFormat="1" applyFont="1" applyFill="1" applyBorder="1"/>
    <x:xf numFmtId="202" fontId="0" fillId="0" borderId="0" xfId="0" applyNumberFormat="1" applyFont="1" applyFill="1" applyBorder="1"/>
    <x:xf numFmtId="202" fontId="0" fillId="0" borderId="1" xfId="0" applyNumberFormat="1" applyFont="1" applyFill="1" applyBorder="1"/>
    <x:xf numFmtId="202" fontId="0" fillId="6" borderId="1" xfId="0" applyNumberFormat="1" applyFont="1" applyFill="1" applyBorder="1"/>
    <x:xf numFmtId="202" fontId="0" fillId="7" borderId="1" xfId="0" applyNumberFormat="1" applyFont="1" applyFill="1" applyBorder="1"/>
    <x:xf numFmtId="202" fontId="10" fillId="7" borderId="1" xfId="0" applyNumberFormat="1" applyFont="1" applyFill="1" applyBorder="1"/>
    <x:xf numFmtId="0" fontId="10" fillId="7" borderId="1" xfId="0" applyNumberFormat="1" applyFont="1" applyFill="1" applyBorder="1"/>
    <x:xf numFmtId="202" fontId="10" fillId="7" borderId="15" xfId="0" applyNumberFormat="1" applyFont="1" applyFill="1" applyBorder="1"/>
    <x:xf numFmtId="202" fontId="10" fillId="7" borderId="16" xfId="0" applyNumberFormat="1" applyFont="1" applyFill="1" applyBorder="1"/>
    <x:xf numFmtId="0" fontId="10" fillId="7" borderId="16" xfId="0" applyNumberFormat="1" applyFont="1" applyFill="1" applyBorder="1"/>
    <x:xf numFmtId="0" fontId="10" fillId="7" borderId="17" xfId="0" applyNumberFormat="1" applyFont="1" applyFill="1" applyBorder="1"/>
    <x:xf numFmtId="0" fontId="0" fillId="4" borderId="0" xfId="0" applyNumberFormat="1" applyFont="1" applyFill="1" applyBorder="1"/>
    <x:xf numFmtId="0" fontId="10" fillId="7" borderId="18" xfId="0" applyNumberFormat="1" applyFont="1" applyFill="1" applyBorder="1"/>
    <x:xf numFmtId="0" fontId="10" fillId="7" borderId="19" xfId="0" applyNumberFormat="1" applyFont="1" applyFill="1" applyBorder="1"/>
    <x:xf numFmtId="0" fontId="10" fillId="7" borderId="20" xfId="0" applyNumberFormat="1" applyFont="1" applyFill="1" applyBorder="1"/>
    <x:xf numFmtId="0" fontId="10" fillId="7" borderId="21" xfId="0" applyNumberFormat="1" applyFont="1" applyFill="1" applyBorder="1"/>
    <x:xf numFmtId="0" fontId="10" fillId="7" borderId="22" xfId="0" applyNumberFormat="1" applyFont="1" applyFill="1" applyBorder="1"/>
    <x:xf numFmtId="0" fontId="10" fillId="7" borderId="23" xfId="0" applyNumberFormat="1" applyFont="1" applyFill="1" applyBorder="1"/>
    <x:xf numFmtId="0" fontId="10" fillId="7" borderId="24" xfId="0" applyNumberFormat="1" applyFont="1" applyFill="1" applyBorder="1"/>
    <x:xf numFmtId="0" fontId="10" fillId="7" borderId="25" xfId="0" applyNumberFormat="1" applyFont="1" applyFill="1" applyBorder="1"/>
    <x:xf numFmtId="0" fontId="10" fillId="7" borderId="18" xfId="0" applyNumberFormat="1" applyFont="1" applyFill="1" applyBorder="1" applyAlignment="1">
      <x:alignment wrapText="1"/>
    </x:xf>
    <x:xf numFmtId="0" fontId="10" fillId="7" borderId="19" xfId="0" applyNumberFormat="1" applyFont="1" applyFill="1" applyBorder="1" applyAlignment="1">
      <x:alignment wrapText="1"/>
    </x:xf>
    <x:xf numFmtId="0" fontId="10" fillId="7" borderId="20" xfId="0" applyNumberFormat="1" applyFont="1" applyFill="1" applyBorder="1" applyAlignment="1">
      <x:alignment wrapText="1"/>
    </x:xf>
    <x:xf numFmtId="0" fontId="10" fillId="7" borderId="21" xfId="0" applyNumberFormat="1" applyFont="1" applyFill="1" applyBorder="1" applyAlignment="1">
      <x:alignment wrapText="1"/>
    </x:xf>
    <x:xf numFmtId="0" fontId="10" fillId="7" borderId="0" xfId="0" applyNumberFormat="1" applyFont="1" applyFill="1" applyBorder="1" applyAlignment="1">
      <x:alignment wrapText="1"/>
    </x:xf>
    <x:xf numFmtId="0" fontId="10" fillId="7" borderId="22" xfId="0" applyNumberFormat="1" applyFont="1" applyFill="1" applyBorder="1" applyAlignment="1">
      <x:alignment wrapText="1"/>
    </x:xf>
    <x:xf numFmtId="0" fontId="10" fillId="7" borderId="23" xfId="0" applyNumberFormat="1" applyFont="1" applyFill="1" applyBorder="1" applyAlignment="1">
      <x:alignment wrapText="1"/>
    </x:xf>
    <x:xf numFmtId="0" fontId="10" fillId="7" borderId="24" xfId="0" applyNumberFormat="1" applyFont="1" applyFill="1" applyBorder="1" applyAlignment="1">
      <x:alignment wrapText="1"/>
    </x:xf>
    <x:xf numFmtId="0" fontId="10" fillId="7" borderId="25" xfId="0" applyNumberFormat="1" applyFont="1" applyFill="1" applyBorder="1" applyAlignment="1">
      <x:alignment wrapText="1"/>
    </x:xf>
    <x:xf numFmtId="0" fontId="11" fillId="7" borderId="18" xfId="0" applyNumberFormat="1" applyFont="1" applyFill="1" applyBorder="1" applyAlignment="1">
      <x:alignment wrapText="1"/>
    </x:xf>
    <x:xf numFmtId="0" fontId="11" fillId="7" borderId="19" xfId="0" applyNumberFormat="1" applyFont="1" applyFill="1" applyBorder="1" applyAlignment="1">
      <x:alignment wrapText="1"/>
    </x:xf>
    <x:xf numFmtId="0" fontId="11" fillId="7" borderId="20" xfId="0" applyNumberFormat="1" applyFont="1" applyFill="1" applyBorder="1" applyAlignment="1">
      <x:alignment wrapText="1"/>
    </x:xf>
    <x:xf numFmtId="0" fontId="11" fillId="7" borderId="21" xfId="0" applyNumberFormat="1" applyFont="1" applyFill="1" applyBorder="1" applyAlignment="1">
      <x:alignment wrapText="1"/>
    </x:xf>
    <x:xf numFmtId="0" fontId="11" fillId="7" borderId="0" xfId="0" applyNumberFormat="1" applyFont="1" applyFill="1" applyBorder="1" applyAlignment="1">
      <x:alignment wrapText="1"/>
    </x:xf>
    <x:xf numFmtId="0" fontId="11" fillId="7" borderId="22" xfId="0" applyNumberFormat="1" applyFont="1" applyFill="1" applyBorder="1" applyAlignment="1">
      <x:alignment wrapText="1"/>
    </x:xf>
    <x:xf numFmtId="0" fontId="11" fillId="7" borderId="23" xfId="0" applyNumberFormat="1" applyFont="1" applyFill="1" applyBorder="1" applyAlignment="1">
      <x:alignment wrapText="1"/>
    </x:xf>
    <x:xf numFmtId="0" fontId="11" fillId="7" borderId="24" xfId="0" applyNumberFormat="1" applyFont="1" applyFill="1" applyBorder="1" applyAlignment="1">
      <x:alignment wrapText="1"/>
    </x:xf>
    <x:xf numFmtId="0" fontId="11" fillId="7" borderId="25" xfId="0" applyNumberFormat="1" applyFont="1" applyFill="1" applyBorder="1" applyAlignment="1">
      <x:alignment wrapText="1"/>
    </x:xf>
    <x:xf numFmtId="205" fontId="0" fillId="0" borderId="0" xfId="0" applyNumberFormat="1" applyFont="1" applyFill="1" applyBorder="1"/>
    <x:xf numFmtId="205" fontId="0" fillId="0" borderId="1" xfId="0" applyNumberFormat="1" applyFont="1" applyFill="1" applyBorder="1"/>
    <x:xf numFmtId="205" fontId="0" fillId="6" borderId="1" xfId="0" applyNumberFormat="1" applyFont="1" applyFill="1" applyBorder="1"/>
    <x:xf numFmtId="0" fontId="11" fillId="7" borderId="18" xfId="0" applyNumberFormat="1" applyFont="1" applyFill="1" applyBorder="1"/>
    <x:xf numFmtId="0" fontId="11" fillId="7" borderId="20" xfId="0" applyNumberFormat="1" applyFont="1" applyFill="1" applyBorder="1"/>
    <x:xf numFmtId="0" fontId="11" fillId="7" borderId="23" xfId="0" applyNumberFormat="1" applyFont="1" applyFill="1" applyBorder="1"/>
    <x:xf numFmtId="0" fontId="11" fillId="7" borderId="25" xfId="0" applyNumberFormat="1" applyFont="1" applyFill="1" applyBorder="1"/>
  </x:cellXfs>
  <x:cellStyles count="1">
    <x:cellStyle name="Normal" xfId="0"/>
  </x:cellStyles>
  <x:dxfs count="3">
    <x:dxf>
      <x:font>
        <x:b/>
        <x:color rgb="FFC00000"/>
      </x:font>
      <x:fill>
        <x:patternFill patternType="solid">
          <x:bgColor rgb="FFFFD966"/>
        </x:patternFill>
      </x:fill>
    </x:dxf>
    <x:dxf>
      <x:font>
        <x:b/>
        <x:color rgb="FF008000"/>
      </x:font>
      <x:fill>
        <x:patternFill patternType="solid">
          <x:bgColor rgb="FFE2F0D9"/>
        </x:patternFill>
      </x:fill>
    </x:dxf>
    <x:dxf>
      <x:font>
        <x:b/>
        <x:color rgb="FFC00000"/>
      </x:font>
      <x:fill>
        <x:patternFill patternType="solid">
          <x:bgColor rgb="FF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8c25c20d7aa483c" /><Relationship Type="http://schemas.openxmlformats.org/officeDocument/2006/relationships/theme" Target="/xl/theme/theme1.xml" Id="Rf992fae2f3fd46c3" /><Relationship Type="http://schemas.openxmlformats.org/officeDocument/2006/relationships/sharedStrings" Target="/xl/sharedStrings.xml" Id="R8b20c3c20e1a4852" /><Relationship Type="http://schemas.openxmlformats.org/officeDocument/2006/relationships/worksheet" Target="/xl/worksheets/sheet1.xml" Id="R2509cc930de14185" /><Relationship Type="http://schemas.openxmlformats.org/officeDocument/2006/relationships/worksheet" Target="/xl/worksheets/sheet2.xml" Id="R1acbdc030f8c4165" /><Relationship Type="http://schemas.openxmlformats.org/officeDocument/2006/relationships/worksheet" Target="/xl/worksheets/sheet3.xml" Id="Rd49810627ae1446a" /><Relationship Type="http://schemas.openxmlformats.org/officeDocument/2006/relationships/worksheet" Target="/xl/worksheets/sheet4.xml" Id="Rb76be2a0dbc744df" /><Relationship Type="http://schemas.openxmlformats.org/officeDocument/2006/relationships/worksheet" Target="/xl/worksheets/sheet5.xml" Id="Rfba80925ca584a47" /><Relationship Type="http://schemas.openxmlformats.org/officeDocument/2006/relationships/worksheet" Target="/xl/worksheets/sheet6.xml" Id="R834812106c6d430e" /><Relationship Type="http://schemas.openxmlformats.org/officeDocument/2006/relationships/worksheet" Target="/xl/worksheets/sheet7.xml" Id="R64aae72430f34bd0" /><Relationship Type="http://schemas.openxmlformats.org/officeDocument/2006/relationships/worksheet" Target="/xl/worksheets/sheet8.xml" Id="R770175a0b7ba41f7" /></Relationships>
</file>

<file path=xl/drawings/_rels/drawing1.xml.rels>&#65279;<?xml version="1.0" encoding="utf-8"?><Relationships xmlns="http://schemas.openxmlformats.org/package/2006/relationships"><Relationship Type="http://schemas.openxmlformats.org/officeDocument/2006/relationships/chart" Target="/xl/drawings/charts/chart1.xml" Id="R172f1f4e8eb54d3e" /></Relationships>
</file>

<file path=xl/drawings/_rels/drawing2.xml.rels>&#65279;<?xml version="1.0" encoding="utf-8"?><Relationships xmlns="http://schemas.openxmlformats.org/package/2006/relationships"><Relationship Type="http://schemas.openxmlformats.org/officeDocument/2006/relationships/chart" Target="/xl/drawings/charts/chart2.xml" Id="Raed6b4d07af545aa"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Demand versus fixed capacity (spaces)</a:t>
            </a:r>
          </a:p>
        </c:rich>
      </c:tx>
      <c:overlay val="0"/>
    </c:title>
    <c:plotArea>
      <c:lineChart>
        <c:grouping val="standard"/>
        <c:varyColors val="0"/>
        <c:ser>
          <c:idx val="0"/>
          <c:order val="0"/>
          <c:tx>
            <c:v>Demand</c:v>
          </c:tx>
          <c:marker>
            <c:symbol val="none"/>
          </c:marker>
          <c:cat>
            <c:strRef>
              <c:f>'Deterministic'!$X$5:$X$25</c:f>
              <c:strCache>
                <c:ptCount val="0"/>
              </c:strCache>
            </c:strRef>
          </c:cat>
          <c:val>
            <c:numRef>
              <c:f>'Deterministic'!$Y$5:$Y$25</c:f>
              <c:numCache>
                <c:formatCode>#,##0;[Red](#,##0);-</c:formatCode>
                <c:ptCount val="0"/>
              </c:numCache>
            </c:numRef>
          </c:val>
          <c:smooth val="0"/>
        </c:ser>
        <c:ser>
          <c:idx val="1"/>
          <c:order val="1"/>
          <c:tx>
            <c:v>Capacity</c:v>
          </c:tx>
          <c:marker>
            <c:symbol val="none"/>
          </c:marker>
          <c:cat>
            <c:strRef>
              <c:f>'Deterministic'!$X$5:$X$25</c:f>
              <c:strCache>
                <c:ptCount val="0"/>
              </c:strCache>
            </c:strRef>
          </c:cat>
          <c:val>
            <c:numRef>
              <c:f>'Deterministic'!$Z$5:$Z$25</c:f>
              <c:numCache>
                <c:formatCode>#,##0;[Red](#,##0);-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Fixed-design NPV across nine cases ($)</a:t>
            </a:r>
          </a:p>
        </c:rich>
      </c:tx>
      <c:overlay val="0"/>
    </c:title>
    <c:plotArea>
      <c:barChart>
        <c:barDir val="col"/>
        <c:varyColors val="0"/>
        <c:ser>
          <c:idx val="0"/>
          <c:order val="0"/>
          <c:tx>
            <c:v>Fixed-design NPV</c:v>
          </c:tx>
          <c:spPr>
            <a:solidFill xmlns:a="http://schemas.openxmlformats.org/drawingml/2006/main">
              <a:srgbClr val="5B9BD5"/>
            </a:solidFill>
          </c:spPr>
          <c:cat>
            <c:strRef>
              <c:f>'Scenario Grid'!$A$9:$A$17</c:f>
              <c:strCache>
                <c:ptCount val="0"/>
              </c:strCache>
            </c:strRef>
          </c:cat>
          <c:val>
            <c:numRef>
              <c:f>'Scenario Grid'!$AA$9:$AA$17</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23</xdr:col>
      <xdr:colOff>0</xdr:colOff>
      <xdr:row>26</xdr:row>
      <xdr:rowOff>0</xdr:rowOff>
    </xdr:from>
    <xdr:to>
      <xdr:col>33</xdr:col>
      <xdr:colOff>0</xdr:colOff>
      <xdr:row>43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72f1f4e8eb54d3e"/>
        </a:graphicData>
      </a:graphic>
    </xdr:graphicFrame>
    <xdr:clientData/>
  </xdr:twoCellAnchor>
</xdr:wsDr>
</file>

<file path=xl/drawings/drawing2.xml><?xml version="1.0" encoding="utf-8"?>
<xdr:wsDr xmlns:xdr="http://schemas.openxmlformats.org/drawingml/2006/spreadsheetDrawing">
  <xdr:twoCellAnchor>
    <xdr:from>
      <xdr:col>0</xdr:col>
      <xdr:colOff>0</xdr:colOff>
      <xdr:row>19</xdr:row>
      <xdr:rowOff>0</xdr:rowOff>
    </xdr:from>
    <xdr:to>
      <xdr:col>10</xdr:col>
      <xdr:colOff>0</xdr:colOff>
      <xdr:row>38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ed6b4d07af545aa"/>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drawing" Target="/xl/drawings/drawing1.xml" Id="R27a6d4794eed4d4c" /></Relationships>
</file>

<file path=xl/worksheets/_rels/sheet7.xml.rels>&#65279;<?xml version="1.0" encoding="utf-8"?><Relationships xmlns="http://schemas.openxmlformats.org/package/2006/relationships"><Relationship Type="http://schemas.openxmlformats.org/officeDocument/2006/relationships/drawing" Target="/xl/drawings/drawing2.xml" Id="Rfff302bce12f4d64" /></Relationships>
</file>

<file path=xl/worksheets/sheet1.xml><?xml version="1.0" encoding="utf-8"?>
<x:worksheet xmlns:x="http://schemas.openxmlformats.org/spreadsheetml/2006/main">
  <x:sheetViews>
    <x:sheetView showGridLines="0" workbookViewId="0"/>
  </x:sheetViews>
  <x:sheetFormatPr defaultRowHeight="15"/>
  <x:cols>
    <x:col min="1" max="1" width="12" hidden="0" customWidth="1"/>
    <x:col min="2" max="2" width="22" hidden="0" customWidth="1"/>
    <x:col min="3" max="3" width="15" hidden="0" customWidth="1"/>
    <x:col min="4" max="4" width="15" hidden="0" customWidth="1"/>
    <x:col min="5" max="5" width="15" hidden="0" customWidth="1"/>
    <x:col min="6" max="6" width="29" hidden="0" customWidth="1"/>
    <x:col min="7" max="7" width="17" hidden="0" customWidth="1"/>
    <x:col min="8" max="8" width="13" hidden="0" customWidth="1"/>
  </x:cols>
  <x:sheetData>
    <x:row r="1" ht="21" customHeight="1">
      <x:c r="A1" s="3" t="str">
        <x:v>IDS.333 Module 3 — Adapted Parking Garage Model</x:v>
      </x:c>
      <x:c r="B1" s="3" t="str">
        <x:v>IDS.333 Module 3 — Adapted Parking Garage Model</x:v>
      </x:c>
      <x:c r="C1" s="3" t="str">
        <x:v>IDS.333 Module 3 — Adapted Parking Garage Model</x:v>
      </x:c>
      <x:c r="D1" s="3" t="str">
        <x:v>IDS.333 Module 3 — Adapted Parking Garage Model</x:v>
      </x:c>
      <x:c r="E1" s="3" t="str">
        <x:v>IDS.333 Module 3 — Adapted Parking Garage Model</x:v>
      </x:c>
      <x:c r="F1" s="3" t="str">
        <x:v>IDS.333 Module 3 — Adapted Parking Garage Model</x:v>
      </x:c>
      <x:c r="G1" s="3" t="str">
        <x:v>IDS.333 Module 3 — Adapted Parking Garage Model</x:v>
      </x:c>
      <x:c r="H1" s="3" t="str">
        <x:v>IDS.333 Module 3 — Adapted Parking Garage Model</x:v>
      </x:c>
    </x:row>
    <x:row r="2" ht="21" customHeight="1">
      <x:c r="A2" s="3" t="str">
        <x:v>IDS.333 Module 3 — Adapted Parking Garage Model</x:v>
      </x:c>
      <x:c r="B2" s="3" t="str">
        <x:v>IDS.333 Module 3 — Adapted Parking Garage Model</x:v>
      </x:c>
      <x:c r="C2" s="3" t="str">
        <x:v>IDS.333 Module 3 — Adapted Parking Garage Model</x:v>
      </x:c>
      <x:c r="D2" s="3" t="str">
        <x:v>IDS.333 Module 3 — Adapted Parking Garage Model</x:v>
      </x:c>
      <x:c r="E2" s="3" t="str">
        <x:v>IDS.333 Module 3 — Adapted Parking Garage Model</x:v>
      </x:c>
      <x:c r="F2" s="3" t="str">
        <x:v>IDS.333 Module 3 — Adapted Parking Garage Model</x:v>
      </x:c>
      <x:c r="G2" s="3" t="str">
        <x:v>IDS.333 Module 3 — Adapted Parking Garage Model</x:v>
      </x:c>
      <x:c r="H2" s="3" t="str">
        <x:v>IDS.333 Module 3 — Adapted Parking Garage Model</x:v>
      </x:c>
    </x:row>
    <x:row r="3" ht="21" customHeight="1"/>
    <x:row r="4" ht="21" customHeight="1">
      <x:c r="A4" s="5" t="str">
        <x:v>Adapted from the original MIT IDS.333 Parking Garage Excel model; redesigned as a self-explanatory learning edition. The MIT original remains unchanged.</x:v>
      </x:c>
      <x:c r="B4" s="5"/>
      <x:c r="C4" s="5"/>
      <x:c r="D4" s="5"/>
      <x:c r="E4" s="5"/>
      <x:c r="F4" s="5"/>
      <x:c r="G4" s="5"/>
      <x:c r="H4" s="5"/>
    </x:row>
    <x:row r="5" ht="21" customHeight="1"/>
    <x:row r="6" ht="21" customHeight="1">
      <x:c r="A6" s="8" t="str">
        <x:v>How to use this workbook</x:v>
      </x:c>
      <x:c r="B6" s="8" t="str">
        <x:v>How to use this workbook</x:v>
      </x:c>
      <x:c r="C6" s="8" t="str">
        <x:v>How to use this workbook</x:v>
      </x:c>
      <x:c r="D6" s="8" t="str">
        <x:v>How to use this workbook</x:v>
      </x:c>
      <x:c r="E6" s="8" t="str">
        <x:v>How to use this workbook</x:v>
      </x:c>
      <x:c r="F6" s="8" t="str">
        <x:v>How to use this workbook</x:v>
      </x:c>
      <x:c r="G6" s="8" t="str">
        <x:v>How to use this workbook</x:v>
      </x:c>
      <x:c r="H6" s="8" t="str">
        <x:v>How to use this workbook</x:v>
      </x:c>
    </x:row>
    <x:row r="7" ht="31" customHeight="1">
      <x:c r="A7" s="12" t="str">
        <x:v>1</x:v>
      </x:c>
      <x:c r="B7" s="13" t="str">
        <x:v>Inputs</x:v>
      </x:c>
      <x:c r="C7" s="15" t="str">
        <x:v>Change only the yellow cells with blue text. Start with one assumption at a time.</x:v>
      </x:c>
      <x:c r="D7" s="15"/>
      <x:c r="E7" s="15"/>
      <x:c r="F7" s="15"/>
      <x:c r="G7" s="15"/>
      <x:c r="H7" s="15"/>
    </x:row>
    <x:row r="8" ht="31" customHeight="1">
      <x:c r="A8" s="12" t="str">
        <x:v>2</x:v>
      </x:c>
      <x:c r="B8" s="13" t="str">
        <x:v>Deterministic</x:v>
      </x:c>
      <x:c r="C8" s="15" t="str">
        <x:v>See the baseline demand, capacity, cash flow, discounting, and NPV calculation.</x:v>
      </x:c>
      <x:c r="D8" s="15"/>
      <x:c r="E8" s="15"/>
      <x:c r="F8" s="15"/>
      <x:c r="G8" s="15"/>
      <x:c r="H8" s="15"/>
    </x:row>
    <x:row r="9" ht="31" customHeight="1">
      <x:c r="A9" s="12" t="str">
        <x:v>3</x:v>
      </x:c>
      <x:c r="B9" s="13" t="str">
        <x:v>Scenario Explorer</x:v>
      </x:c>
      <x:c r="C9" s="15" t="str">
        <x:v>Test a traceable demand scenario by changing three multipliers.</x:v>
      </x:c>
      <x:c r="D9" s="15"/>
      <x:c r="E9" s="15"/>
      <x:c r="F9" s="15"/>
      <x:c r="G9" s="15"/>
      <x:c r="H9" s="15"/>
    </x:row>
    <x:row r="10" ht="31" customHeight="1">
      <x:c r="A10" s="12" t="str">
        <x:v>4</x:v>
      </x:c>
      <x:c r="B10" s="13" t="str">
        <x:v>Flexible Design</x:v>
      </x:c>
      <x:c r="C10" s="15" t="str">
        <x:v>See when the model expands after two consecutive years of unmet demand.</x:v>
      </x:c>
      <x:c r="D10" s="15"/>
      <x:c r="E10" s="15"/>
      <x:c r="F10" s="15"/>
      <x:c r="G10" s="15"/>
      <x:c r="H10" s="15"/>
    </x:row>
    <x:row r="11" ht="31" customHeight="1">
      <x:c r="A11" s="12" t="str">
        <x:v>5</x:v>
      </x:c>
      <x:c r="B11" s="13" t="str">
        <x:v>Compare</x:v>
      </x:c>
      <x:c r="C11" s="15" t="str">
        <x:v>Compare fixed and flexible designs and relate them to the published case benchmark.</x:v>
      </x:c>
      <x:c r="D11" s="15"/>
      <x:c r="E11" s="15"/>
      <x:c r="F11" s="15"/>
      <x:c r="G11" s="15"/>
      <x:c r="H11" s="15"/>
    </x:row>
    <x:row r="12" ht="31" customHeight="1">
      <x:c r="A12" s="12" t="str">
        <x:v>6</x:v>
      </x:c>
      <x:c r="B12" s="13" t="str">
        <x:v>Scenario Grid</x:v>
      </x:c>
      <x:c r="C12" s="15" t="str">
        <x:v>Review nine transparent low/base/high cases before using the original Monte Carlo workbook.</x:v>
      </x:c>
      <x:c r="D12" s="15"/>
      <x:c r="E12" s="15"/>
      <x:c r="F12" s="15"/>
      <x:c r="G12" s="15"/>
      <x:c r="H12" s="15"/>
    </x:row>
    <x:row r="13" ht="21" customHeight="1"/>
    <x:row r="14" ht="21" customHeight="1">
      <x:c r="A14" s="8" t="str">
        <x:v>Workbook color key</x:v>
      </x:c>
      <x:c r="B14" s="8" t="str">
        <x:v>Workbook color key</x:v>
      </x:c>
      <x:c r="C14" s="8" t="str">
        <x:v>Workbook color key</x:v>
      </x:c>
      <x:c r="D14" s="8" t="str">
        <x:v>Workbook color key</x:v>
      </x:c>
      <x:c r="F14" s="8" t="str">
        <x:v>Base-case reset values</x:v>
      </x:c>
      <x:c r="G14" s="8" t="str">
        <x:v>Base-case reset values</x:v>
      </x:c>
      <x:c r="H14" s="8" t="str">
        <x:v>Base-case reset values</x:v>
      </x:c>
    </x:row>
    <x:row r="15" ht="21" customHeight="1">
      <x:c r="A15" s="23" t="str">
        <x:v>CHANGE</x:v>
      </x:c>
      <x:c r="B15" s="24" t="str">
        <x:v>Yellow fill + blue text</x:v>
      </x:c>
      <x:c r="C15" s="14" t="str">
        <x:v>Editable assumptions</x:v>
      </x:c>
      <x:c r="D15" s="14"/>
      <x:c r="F15" s="14" t="str">
        <x:v>Opening demand</x:v>
      </x:c>
      <x:c r="G15" s="14" t="n">
        <x:v>750</x:v>
      </x:c>
      <x:c r="H15" s="14" t="str">
        <x:v>spaces</x:v>
      </x:c>
    </x:row>
    <x:row r="16" ht="21" customHeight="1">
      <x:c r="A16" s="23" t="str">
        <x:v>CALCULATES</x:v>
      </x:c>
      <x:c r="B16" s="25" t="str">
        <x:v>Light gray fill</x:v>
      </x:c>
      <x:c r="C16" s="14" t="str">
        <x:v>Formula cells — do not overwrite</x:v>
      </x:c>
      <x:c r="D16" s="14"/>
      <x:c r="F16" s="14" t="str">
        <x:v>Added by year 10</x:v>
      </x:c>
      <x:c r="G16" s="14" t="n">
        <x:v>750</x:v>
      </x:c>
      <x:c r="H16" s="14" t="str">
        <x:v>spaces</x:v>
      </x:c>
    </x:row>
    <x:row r="17" ht="21" customHeight="1">
      <x:c r="A17" s="23" t="str">
        <x:v>RESULT</x:v>
      </x:c>
      <x:c r="B17" s="26" t="str">
        <x:v>Green fill</x:v>
      </x:c>
      <x:c r="C17" s="14" t="str">
        <x:v>Key output or decision</x:v>
      </x:c>
      <x:c r="D17" s="14"/>
      <x:c r="F17" s="14" t="str">
        <x:v>Added after year 10</x:v>
      </x:c>
      <x:c r="G17" s="14" t="n">
        <x:v>250</x:v>
      </x:c>
      <x:c r="H17" s="14" t="str">
        <x:v>spaces</x:v>
      </x:c>
    </x:row>
    <x:row r="18" ht="21" customHeight="1">
      <x:c r="A18" s="23" t="str">
        <x:v>NOTE</x:v>
      </x:c>
      <x:c r="B18" s="27" t="str">
        <x:v>Peach fill</x:v>
      </x:c>
      <x:c r="C18" s="14" t="str">
        <x:v>Teaching note, limitation, or warning</x:v>
      </x:c>
      <x:c r="D18" s="14"/>
      <x:c r="F18" s="14" t="str">
        <x:v>Revenue per used space</x:v>
      </x:c>
      <x:c r="G18" s="28" t="n">
        <x:v>10000</x:v>
      </x:c>
      <x:c r="H18" s="14" t="str">
        <x:v>$/year</x:v>
      </x:c>
    </x:row>
    <x:row r="19" ht="21" customHeight="1">
      <x:c r="F19" s="14" t="str">
        <x:v>Operating cost per capacity space</x:v>
      </x:c>
      <x:c r="G19" s="28" t="n">
        <x:v>2000</x:v>
      </x:c>
      <x:c r="H19" s="14" t="str">
        <x:v>$/year</x:v>
      </x:c>
    </x:row>
    <x:row r="20" ht="21" customHeight="1">
      <x:c r="F20" s="14" t="str">
        <x:v>Fixed land cost</x:v>
      </x:c>
      <x:c r="G20" s="28" t="n">
        <x:v>3600000</x:v>
      </x:c>
      <x:c r="H20" s="14" t="str">
        <x:v>$/year</x:v>
      </x:c>
    </x:row>
    <x:row r="21" ht="21" customHeight="1">
      <x:c r="F21" s="14" t="str">
        <x:v>Fixed design</x:v>
      </x:c>
      <x:c r="G21" s="14" t="n">
        <x:v>6</x:v>
      </x:c>
      <x:c r="H21" s="14" t="str">
        <x:v>levels</x:v>
      </x:c>
    </x:row>
    <x:row r="22" ht="21" customHeight="1">
      <x:c r="F22" s="14" t="str">
        <x:v>Flexible initial design</x:v>
      </x:c>
      <x:c r="G22" s="14" t="n">
        <x:v>4</x:v>
      </x:c>
      <x:c r="H22" s="14" t="str">
        <x:v>levels</x:v>
      </x:c>
    </x:row>
    <x:row r="23" ht="21" customHeight="1"/>
    <x:row r="24" ht="21" customHeight="1">
      <x:c r="A24" s="8" t="str">
        <x:v>Important model conventions</x:v>
      </x:c>
      <x:c r="B24" s="8" t="str">
        <x:v>Important model conventions</x:v>
      </x:c>
      <x:c r="C24" s="8" t="str">
        <x:v>Important model conventions</x:v>
      </x:c>
      <x:c r="D24" s="8" t="str">
        <x:v>Important model conventions</x:v>
      </x:c>
      <x:c r="E24" s="8" t="str">
        <x:v>Important model conventions</x:v>
      </x:c>
      <x:c r="F24" s="8" t="str">
        <x:v>Important model conventions</x:v>
      </x:c>
      <x:c r="G24" s="8" t="str">
        <x:v>Important model conventions</x:v>
      </x:c>
      <x:c r="H24" s="8" t="str">
        <x:v>Important model conventions</x:v>
      </x:c>
    </x:row>
    <x:row r="25" ht="26" customHeight="1">
      <x:c r="A25" s="32" t="str">
        <x:v>This guided edition uses conventional timing: construction at Year 0 and operating cash flows in Years 1–20. It replaces the original workbook’s volatile 2,000-run Monte Carlo section with a transparent nine-case scenario grid. Consequently, results will not exactly match saved values in the original .xls or every number in the published paper. Use the original MIT workbook for the full random simulation exercise.</x:v>
      </x:c>
      <x:c r="B25" s="33" t="str">
        <x:v>This guided edition uses conventional timing: construction at Year 0 and operating cash flows in Years 1–20. It replaces the original workbook’s volatile 2,000-run Monte Carlo section with a transparent nine-case scenario grid. Consequently, results will not exactly match saved values in the original .xls or every number in the published paper. Use the original MIT workbook for the full random simulation exercise.</x:v>
      </x:c>
      <x:c r="C25" s="33" t="str">
        <x:v>This guided edition uses conventional timing: construction at Year 0 and operating cash flows in Years 1–20. It replaces the original workbook’s volatile 2,000-run Monte Carlo section with a transparent nine-case scenario grid. Consequently, results will not exactly match saved values in the original .xls or every number in the published paper. Use the original MIT workbook for the full random simulation exercise.</x:v>
      </x:c>
      <x:c r="D25" s="33" t="str">
        <x:v>This guided edition uses conventional timing: construction at Year 0 and operating cash flows in Years 1–20. It replaces the original workbook’s volatile 2,000-run Monte Carlo section with a transparent nine-case scenario grid. Consequently, results will not exactly match saved values in the original .xls or every number in the published paper. Use the original MIT workbook for the full random simulation exercise.</x:v>
      </x:c>
      <x:c r="E25" s="33" t="str">
        <x:v>This guided edition uses conventional timing: construction at Year 0 and operating cash flows in Years 1–20. It replaces the original workbook’s volatile 2,000-run Monte Carlo section with a transparent nine-case scenario grid. Consequently, results will not exactly match saved values in the original .xls or every number in the published paper. Use the original MIT workbook for the full random simulation exercise.</x:v>
      </x:c>
      <x:c r="F25" s="33" t="str">
        <x:v>This guided edition uses conventional timing: construction at Year 0 and operating cash flows in Years 1–20. It replaces the original workbook’s volatile 2,000-run Monte Carlo section with a transparent nine-case scenario grid. Consequently, results will not exactly match saved values in the original .xls or every number in the published paper. Use the original MIT workbook for the full random simulation exercise.</x:v>
      </x:c>
      <x:c r="G25" s="33" t="str">
        <x:v>This guided edition uses conventional timing: construction at Year 0 and operating cash flows in Years 1–20. It replaces the original workbook’s volatile 2,000-run Monte Carlo section with a transparent nine-case scenario grid. Consequently, results will not exactly match saved values in the original .xls or every number in the published paper. Use the original MIT workbook for the full random simulation exercise.</x:v>
      </x:c>
      <x:c r="H25" s="34" t="str">
        <x:v>This guided edition uses conventional timing: construction at Year 0 and operating cash flows in Years 1–20. It replaces the original workbook’s volatile 2,000-run Monte Carlo section with a transparent nine-case scenario grid. Consequently, results will not exactly match saved values in the original .xls or every number in the published paper. Use the original MIT workbook for the full random simulation exercise.</x:v>
      </x:c>
    </x:row>
    <x:row r="26" ht="26" customHeight="1">
      <x:c r="A26" s="35" t="str">
        <x:v>This guided edition uses conventional timing: construction at Year 0 and operating cash flows in Years 1–20. It replaces the original workbook’s volatile 2,000-run Monte Carlo section with a transparent nine-case scenario grid. Consequently, results will not exactly match saved values in the original .xls or every number in the published paper. Use the original MIT workbook for the full random simulation exercise.</x:v>
      </x:c>
      <x:c r="B26" s="31" t="str">
        <x:v>This guided edition uses conventional timing: construction at Year 0 and operating cash flows in Years 1–20. It replaces the original workbook’s volatile 2,000-run Monte Carlo section with a transparent nine-case scenario grid. Consequently, results will not exactly match saved values in the original .xls or every number in the published paper. Use the original MIT workbook for the full random simulation exercise.</x:v>
      </x:c>
      <x:c r="C26" s="31" t="str">
        <x:v>This guided edition uses conventional timing: construction at Year 0 and operating cash flows in Years 1–20. It replaces the original workbook’s volatile 2,000-run Monte Carlo section with a transparent nine-case scenario grid. Consequently, results will not exactly match saved values in the original .xls or every number in the published paper. Use the original MIT workbook for the full random simulation exercise.</x:v>
      </x:c>
      <x:c r="D26" s="31" t="str">
        <x:v>This guided edition uses conventional timing: construction at Year 0 and operating cash flows in Years 1–20. It replaces the original workbook’s volatile 2,000-run Monte Carlo section with a transparent nine-case scenario grid. Consequently, results will not exactly match saved values in the original .xls or every number in the published paper. Use the original MIT workbook for the full random simulation exercise.</x:v>
      </x:c>
      <x:c r="E26" s="31" t="str">
        <x:v>This guided edition uses conventional timing: construction at Year 0 and operating cash flows in Years 1–20. It replaces the original workbook’s volatile 2,000-run Monte Carlo section with a transparent nine-case scenario grid. Consequently, results will not exactly match saved values in the original .xls or every number in the published paper. Use the original MIT workbook for the full random simulation exercise.</x:v>
      </x:c>
      <x:c r="F26" s="31" t="str">
        <x:v>This guided edition uses conventional timing: construction at Year 0 and operating cash flows in Years 1–20. It replaces the original workbook’s volatile 2,000-run Monte Carlo section with a transparent nine-case scenario grid. Consequently, results will not exactly match saved values in the original .xls or every number in the published paper. Use the original MIT workbook for the full random simulation exercise.</x:v>
      </x:c>
      <x:c r="G26" s="31" t="str">
        <x:v>This guided edition uses conventional timing: construction at Year 0 and operating cash flows in Years 1–20. It replaces the original workbook’s volatile 2,000-run Monte Carlo section with a transparent nine-case scenario grid. Consequently, results will not exactly match saved values in the original .xls or every number in the published paper. Use the original MIT workbook for the full random simulation exercise.</x:v>
      </x:c>
      <x:c r="H26" s="36" t="str">
        <x:v>This guided edition uses conventional timing: construction at Year 0 and operating cash flows in Years 1–20. It replaces the original workbook’s volatile 2,000-run Monte Carlo section with a transparent nine-case scenario grid. Consequently, results will not exactly match saved values in the original .xls or every number in the published paper. Use the original MIT workbook for the full random simulation exercise.</x:v>
      </x:c>
    </x:row>
    <x:row r="27" ht="26" customHeight="1">
      <x:c r="A27" s="35" t="str">
        <x:v>This guided edition uses conventional timing: construction at Year 0 and operating cash flows in Years 1–20. It replaces the original workbook’s volatile 2,000-run Monte Carlo section with a transparent nine-case scenario grid. Consequently, results will not exactly match saved values in the original .xls or every number in the published paper. Use the original MIT workbook for the full random simulation exercise.</x:v>
      </x:c>
      <x:c r="B27" s="31" t="str">
        <x:v>This guided edition uses conventional timing: construction at Year 0 and operating cash flows in Years 1–20. It replaces the original workbook’s volatile 2,000-run Monte Carlo section with a transparent nine-case scenario grid. Consequently, results will not exactly match saved values in the original .xls or every number in the published paper. Use the original MIT workbook for the full random simulation exercise.</x:v>
      </x:c>
      <x:c r="C27" s="31" t="str">
        <x:v>This guided edition uses conventional timing: construction at Year 0 and operating cash flows in Years 1–20. It replaces the original workbook’s volatile 2,000-run Monte Carlo section with a transparent nine-case scenario grid. Consequently, results will not exactly match saved values in the original .xls or every number in the published paper. Use the original MIT workbook for the full random simulation exercise.</x:v>
      </x:c>
      <x:c r="D27" s="31" t="str">
        <x:v>This guided edition uses conventional timing: construction at Year 0 and operating cash flows in Years 1–20. It replaces the original workbook’s volatile 2,000-run Monte Carlo section with a transparent nine-case scenario grid. Consequently, results will not exactly match saved values in the original .xls or every number in the published paper. Use the original MIT workbook for the full random simulation exercise.</x:v>
      </x:c>
      <x:c r="E27" s="31" t="str">
        <x:v>This guided edition uses conventional timing: construction at Year 0 and operating cash flows in Years 1–20. It replaces the original workbook’s volatile 2,000-run Monte Carlo section with a transparent nine-case scenario grid. Consequently, results will not exactly match saved values in the original .xls or every number in the published paper. Use the original MIT workbook for the full random simulation exercise.</x:v>
      </x:c>
      <x:c r="F27" s="31" t="str">
        <x:v>This guided edition uses conventional timing: construction at Year 0 and operating cash flows in Years 1–20. It replaces the original workbook’s volatile 2,000-run Monte Carlo section with a transparent nine-case scenario grid. Consequently, results will not exactly match saved values in the original .xls or every number in the published paper. Use the original MIT workbook for the full random simulation exercise.</x:v>
      </x:c>
      <x:c r="G27" s="31" t="str">
        <x:v>This guided edition uses conventional timing: construction at Year 0 and operating cash flows in Years 1–20. It replaces the original workbook’s volatile 2,000-run Monte Carlo section with a transparent nine-case scenario grid. Consequently, results will not exactly match saved values in the original .xls or every number in the published paper. Use the original MIT workbook for the full random simulation exercise.</x:v>
      </x:c>
      <x:c r="H27" s="36" t="str">
        <x:v>This guided edition uses conventional timing: construction at Year 0 and operating cash flows in Years 1–20. It replaces the original workbook’s volatile 2,000-run Monte Carlo section with a transparent nine-case scenario grid. Consequently, results will not exactly match saved values in the original .xls or every number in the published paper. Use the original MIT workbook for the full random simulation exercise.</x:v>
      </x:c>
    </x:row>
    <x:row r="28" ht="26" customHeight="1">
      <x:c r="A28" s="37" t="str">
        <x:v>This guided edition uses conventional timing: construction at Year 0 and operating cash flows in Years 1–20. It replaces the original workbook’s volatile 2,000-run Monte Carlo section with a transparent nine-case scenario grid. Consequently, results will not exactly match saved values in the original .xls or every number in the published paper. Use the original MIT workbook for the full random simulation exercise.</x:v>
      </x:c>
      <x:c r="B28" s="38" t="str">
        <x:v>This guided edition uses conventional timing: construction at Year 0 and operating cash flows in Years 1–20. It replaces the original workbook’s volatile 2,000-run Monte Carlo section with a transparent nine-case scenario grid. Consequently, results will not exactly match saved values in the original .xls or every number in the published paper. Use the original MIT workbook for the full random simulation exercise.</x:v>
      </x:c>
      <x:c r="C28" s="38" t="str">
        <x:v>This guided edition uses conventional timing: construction at Year 0 and operating cash flows in Years 1–20. It replaces the original workbook’s volatile 2,000-run Monte Carlo section with a transparent nine-case scenario grid. Consequently, results will not exactly match saved values in the original .xls or every number in the published paper. Use the original MIT workbook for the full random simulation exercise.</x:v>
      </x:c>
      <x:c r="D28" s="38" t="str">
        <x:v>This guided edition uses conventional timing: construction at Year 0 and operating cash flows in Years 1–20. It replaces the original workbook’s volatile 2,000-run Monte Carlo section with a transparent nine-case scenario grid. Consequently, results will not exactly match saved values in the original .xls or every number in the published paper. Use the original MIT workbook for the full random simulation exercise.</x:v>
      </x:c>
      <x:c r="E28" s="38" t="str">
        <x:v>This guided edition uses conventional timing: construction at Year 0 and operating cash flows in Years 1–20. It replaces the original workbook’s volatile 2,000-run Monte Carlo section with a transparent nine-case scenario grid. Consequently, results will not exactly match saved values in the original .xls or every number in the published paper. Use the original MIT workbook for the full random simulation exercise.</x:v>
      </x:c>
      <x:c r="F28" s="38" t="str">
        <x:v>This guided edition uses conventional timing: construction at Year 0 and operating cash flows in Years 1–20. It replaces the original workbook’s volatile 2,000-run Monte Carlo section with a transparent nine-case scenario grid. Consequently, results will not exactly match saved values in the original .xls or every number in the published paper. Use the original MIT workbook for the full random simulation exercise.</x:v>
      </x:c>
      <x:c r="G28" s="38" t="str">
        <x:v>This guided edition uses conventional timing: construction at Year 0 and operating cash flows in Years 1–20. It replaces the original workbook’s volatile 2,000-run Monte Carlo section with a transparent nine-case scenario grid. Consequently, results will not exactly match saved values in the original .xls or every number in the published paper. Use the original MIT workbook for the full random simulation exercise.</x:v>
      </x:c>
      <x:c r="H28" s="39" t="str">
        <x:v>This guided edition uses conventional timing: construction at Year 0 and operating cash flows in Years 1–20. It replaces the original workbook’s volatile 2,000-run Monte Carlo section with a transparent nine-case scenario grid. Consequently, results will not exactly match saved values in the original .xls or every number in the published paper. Use the original MIT workbook for the full random simulation exercise.</x:v>
      </x:c>
    </x:row>
    <x:row r="29" ht="21" customHeight="1"/>
    <x:row r="30" ht="21" customHeight="1">
      <x:c r="A30" s="8" t="str">
        <x:v>Sources and original materials</x:v>
      </x:c>
      <x:c r="B30" s="8" t="str">
        <x:v>Sources and original materials</x:v>
      </x:c>
      <x:c r="C30" s="8" t="str">
        <x:v>Sources and original materials</x:v>
      </x:c>
      <x:c r="D30" s="8" t="str">
        <x:v>Sources and original materials</x:v>
      </x:c>
      <x:c r="E30" s="8" t="str">
        <x:v>Sources and original materials</x:v>
      </x:c>
      <x:c r="F30" s="8" t="str">
        <x:v>Sources and original materials</x:v>
      </x:c>
      <x:c r="G30" s="8" t="str">
        <x:v>Sources and original materials</x:v>
      </x:c>
      <x:c r="H30" s="8" t="str">
        <x:v>Sources and original materials</x:v>
      </x:c>
    </x:row>
    <x:row r="31" ht="30" customHeight="1">
      <x:c r="A31" s="42" t="str">
        <x:v>MIT course download directory</x:v>
      </x:c>
      <x:c r="B31" s="15" t="str">
        <x:v>https://ocw.mit.edu/courses/ids-333-risk-and-decision-analysis-fall-2021/download/</x:v>
      </x:c>
      <x:c r="C31" s="15"/>
      <x:c r="D31" s="15"/>
      <x:c r="E31" s="15"/>
      <x:c r="F31" s="15"/>
      <x:c r="G31" s="15"/>
      <x:c r="H31" s="15"/>
    </x:row>
    <x:row r="32" ht="30" customHeight="1">
      <x:c r="A32" s="42" t="str">
        <x:v>MIT technical note (Lecture 4)</x:v>
      </x:c>
      <x:c r="B32" s="15" t="str">
        <x:v>https://ocw.mit.edu/courses/ids-333-risk-and-decision-analysis-fall-2021/resources/mit_ids_333f21_lec4/</x:v>
      </x:c>
      <x:c r="C32" s="15"/>
      <x:c r="D32" s="15"/>
      <x:c r="E32" s="15"/>
      <x:c r="F32" s="15"/>
      <x:c r="G32" s="15"/>
      <x:c r="H32" s="15"/>
    </x:row>
    <x:row r="33" ht="30" customHeight="1">
      <x:c r="A33" s="42" t="str">
        <x:v>Concise published garage case</x:v>
      </x:c>
      <x:c r="B33" s="15" t="str">
        <x:v>https://web.mit.edu/deweck/Public/Alstom/deNeufville_et_al_2006.pdf</x:v>
      </x:c>
      <x:c r="C33" s="15"/>
      <x:c r="D33" s="15"/>
      <x:c r="E33" s="15"/>
      <x:c r="F33" s="15"/>
      <x:c r="G33" s="15"/>
      <x:c r="H33" s="15"/>
    </x:row>
    <x:row r="34" ht="30" customHeight="1">
      <x:c r="A34" s="42" t="str">
        <x:v>Original MIT Excel model</x:v>
      </x:c>
      <x:c r="B34" s="15" t="str">
        <x:v>https://ocw.mit.edu/courses/ids-333-risk-and-decision-analysis-fall-2021/resources/mit_ids_333f21_hw4/</x:v>
      </x:c>
      <x:c r="C34" s="15"/>
      <x:c r="D34" s="15"/>
      <x:c r="E34" s="15"/>
      <x:c r="F34" s="15"/>
      <x:c r="G34" s="15"/>
      <x:c r="H34" s="15"/>
    </x:row>
    <x:row r="35" ht="30" customHeight="1">
      <x:c r="A35" s="42" t="str">
        <x:v>Adaptation and attribution</x:v>
      </x:c>
      <x:c r="B35" s="15" t="str">
        <x:v>Original source: MIT OpenCourseWare, IDS.333 Risk and Decision Analysis (Fall 2021), Parking Garage model. This adapted workbook reorganizes, explains, and simplifies portions of the original for guided learning; it is not an official MIT release.</x:v>
      </x:c>
      <x:c r="C35" s="15"/>
      <x:c r="D35" s="15"/>
      <x:c r="E35" s="15"/>
      <x:c r="F35" s="15"/>
      <x:c r="G35" s="15"/>
      <x:c r="H35" s="15"/>
    </x:row>
  </x:sheetData>
  <x:mergeCells>
    <x:mergeCell ref="A1:H2"/>
    <x:mergeCell ref="A4:H4"/>
    <x:mergeCell ref="A6:H6"/>
    <x:mergeCell ref="C7:H7"/>
    <x:mergeCell ref="C8:H8"/>
    <x:mergeCell ref="C9:H9"/>
    <x:mergeCell ref="C10:H10"/>
    <x:mergeCell ref="C11:H11"/>
    <x:mergeCell ref="C12:H12"/>
    <x:mergeCell ref="A14:D14"/>
    <x:mergeCell ref="F14:H14"/>
    <x:mergeCell ref="A24:H24"/>
    <x:mergeCell ref="A25:H28"/>
    <x:mergeCell ref="A30:H30"/>
    <x:mergeCell ref="B31:H31"/>
    <x:mergeCell ref="B32:H32"/>
    <x:mergeCell ref="B33:H33"/>
    <x:mergeCell ref="B34:H34"/>
    <x:mergeCell ref="B35:H35"/>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4" hidden="0" customWidth="1"/>
    <x:col min="2" max="2" width="16" hidden="0" customWidth="1"/>
    <x:col min="3" max="3" width="16" hidden="0" customWidth="1"/>
    <x:col min="4" max="4" width="15" hidden="0" customWidth="1"/>
    <x:col min="5" max="5" width="33" hidden="0" customWidth="1"/>
    <x:col min="6" max="6" width="27" hidden="0" customWidth="1"/>
    <x:col min="8" max="8" width="11" hidden="0" customWidth="1"/>
    <x:col min="9" max="9" width="20" hidden="0" customWidth="1"/>
    <x:col min="10" max="10" width="20" hidden="0" customWidth="1"/>
  </x:cols>
  <x:sheetData>
    <x:row r="1" ht="34" customHeight="1">
      <x:c r="A1" s="3" t="str">
        <x:v>Inputs — change only yellow cells with blue text</x:v>
      </x:c>
      <x:c r="B1" s="3" t="str">
        <x:v>Inputs — change only yellow cells with blue text</x:v>
      </x:c>
      <x:c r="C1" s="3" t="str">
        <x:v>Inputs — change only yellow cells with blue text</x:v>
      </x:c>
      <x:c r="D1" s="3" t="str">
        <x:v>Inputs — change only yellow cells with blue text</x:v>
      </x:c>
      <x:c r="E1" s="3" t="str">
        <x:v>Inputs — change only yellow cells with blue text</x:v>
      </x:c>
      <x:c r="F1" s="3" t="str">
        <x:v>Inputs — change only yellow cells with blue text</x:v>
      </x:c>
    </x:row>
    <x:row r="2" ht="34" customHeight="1">
      <x:c r="A2" s="3" t="str">
        <x:v>Inputs — change only yellow cells with blue text</x:v>
      </x:c>
      <x:c r="B2" s="3" t="str">
        <x:v>Inputs — change only yellow cells with blue text</x:v>
      </x:c>
      <x:c r="C2" s="3" t="str">
        <x:v>Inputs — change only yellow cells with blue text</x:v>
      </x:c>
      <x:c r="D2" s="3" t="str">
        <x:v>Inputs — change only yellow cells with blue text</x:v>
      </x:c>
      <x:c r="E2" s="3" t="str">
        <x:v>Inputs — change only yellow cells with blue text</x:v>
      </x:c>
      <x:c r="F2" s="3" t="str">
        <x:v>Inputs — change only yellow cells with blue text</x:v>
      </x:c>
    </x:row>
    <x:row r="4" ht="24" customHeight="1">
      <x:c r="A4" s="46" t="str">
        <x:v>Assumption</x:v>
      </x:c>
      <x:c r="B4" s="46" t="str">
        <x:v>Current value</x:v>
      </x:c>
      <x:c r="C4" s="46" t="str">
        <x:v>Unit</x:v>
      </x:c>
      <x:c r="D4" s="46" t="str">
        <x:v>MIT base</x:v>
      </x:c>
      <x:c r="E4" s="46" t="str">
        <x:v>Why it matters</x:v>
      </x:c>
      <x:c r="F4" s="46" t="str">
        <x:v>Source / note</x:v>
      </x:c>
      <x:c r="H4" s="8" t="str">
        <x:v>Construction cost by level</x:v>
      </x:c>
      <x:c r="I4" s="8" t="str">
        <x:v>Construction cost by level</x:v>
      </x:c>
      <x:c r="J4" s="8" t="str">
        <x:v>Construction cost by level</x:v>
      </x:c>
    </x:row>
    <x:row r="5" ht="24" customHeight="1">
      <x:c r="A5" s="52" t="str">
        <x:v>DEMAND</x:v>
      </x:c>
      <x:c r="B5" s="52" t="str">
        <x:v>DEMAND</x:v>
      </x:c>
      <x:c r="C5" s="52" t="str">
        <x:v>DEMAND</x:v>
      </x:c>
      <x:c r="D5" s="52" t="str">
        <x:v>DEMAND</x:v>
      </x:c>
      <x:c r="E5" s="57" t="str">
        <x:v>DEMAND</x:v>
      </x:c>
      <x:c r="F5" s="57" t="str">
        <x:v>DEMAND</x:v>
      </x:c>
      <x:c r="H5" s="46" t="str">
        <x:v>Level</x:v>
      </x:c>
      <x:c r="I5" s="46" t="str">
        <x:v>Cost of this level</x:v>
      </x:c>
      <x:c r="J5" s="46" t="str">
        <x:v>Cumulative cost</x:v>
      </x:c>
    </x:row>
    <x:row r="6" ht="24" customHeight="1">
      <x:c r="A6" s="14" t="str">
        <x:v>Opening demand</x:v>
      </x:c>
      <x:c r="B6" s="24" t="n">
        <x:v>750</x:v>
      </x:c>
      <x:c r="C6" s="14" t="str">
        <x:v>spaces</x:v>
      </x:c>
      <x:c r="D6" s="14" t="n">
        <x:v>750</x:v>
      </x:c>
      <x:c r="E6" s="15" t="str">
        <x:v>Demand in Year 1</x:v>
      </x:c>
      <x:c r="F6" s="15" t="str">
        <x:v>MIT garage case</x:v>
      </x:c>
      <x:c r="H6" s="14" t="n">
        <x:v>1</x:v>
      </x:c>
      <x:c r="I6" s="60" t="n">
        <x:f>$B$14*$B$16*IF(H6&lt;=2,1,(1+$B$15)^(H6-2))</x:f>
        <x:v>3200000</x:v>
      </x:c>
      <x:c r="J6" s="60" t="n">
        <x:f>I6</x:f>
        <x:v>3200000</x:v>
      </x:c>
    </x:row>
    <x:row r="7" ht="24" customHeight="1">
      <x:c r="A7" s="14" t="str">
        <x:v>Additional demand by Year 10</x:v>
      </x:c>
      <x:c r="B7" s="24" t="n">
        <x:v>750</x:v>
      </x:c>
      <x:c r="C7" s="14" t="str">
        <x:v>spaces</x:v>
      </x:c>
      <x:c r="D7" s="14" t="n">
        <x:v>750</x:v>
      </x:c>
      <x:c r="E7" s="15" t="str">
        <x:v>Shapes the early growth curve</x:v>
      </x:c>
      <x:c r="F7" s="15" t="str">
        <x:v>MIT garage case</x:v>
      </x:c>
      <x:c r="H7" s="14" t="n">
        <x:v>2</x:v>
      </x:c>
      <x:c r="I7" s="60" t="n">
        <x:f>$B$14*$B$16*IF(H7&lt;=2,1,(1+$B$15)^(H7-2))</x:f>
        <x:v>3200000</x:v>
      </x:c>
      <x:c r="J7" s="60" t="n">
        <x:f>J6+I7</x:f>
        <x:v>6400000</x:v>
      </x:c>
    </x:row>
    <x:row r="8" ht="24" customHeight="1">
      <x:c r="A8" s="14" t="str">
        <x:v>Additional demand after Year 10</x:v>
      </x:c>
      <x:c r="B8" s="24" t="n">
        <x:v>250</x:v>
      </x:c>
      <x:c r="C8" s="14" t="str">
        <x:v>spaces</x:v>
      </x:c>
      <x:c r="D8" s="14" t="n">
        <x:v>250</x:v>
      </x:c>
      <x:c r="E8" s="15" t="str">
        <x:v>Sets long-run demand</x:v>
      </x:c>
      <x:c r="F8" s="15" t="str">
        <x:v>MIT garage case</x:v>
      </x:c>
      <x:c r="H8" s="14" t="n">
        <x:v>3</x:v>
      </x:c>
      <x:c r="I8" s="60" t="n">
        <x:f>$B$14*$B$16*IF(H8&lt;=2,1,(1+$B$15)^(H8-2))</x:f>
        <x:v>3520000.0000000005</x:v>
      </x:c>
      <x:c r="J8" s="60" t="n">
        <x:f>J7+I8</x:f>
        <x:v>9920000</x:v>
      </x:c>
    </x:row>
    <x:row r="9" ht="24" customHeight="1">
      <x:c r="A9" s="52" t="str">
        <x:v>ECONOMICS</x:v>
      </x:c>
      <x:c r="B9" s="52" t="str">
        <x:v>ECONOMICS</x:v>
      </x:c>
      <x:c r="C9" s="52" t="str">
        <x:v>ECONOMICS</x:v>
      </x:c>
      <x:c r="D9" s="52" t="str">
        <x:v>ECONOMICS</x:v>
      </x:c>
      <x:c r="E9" s="57" t="str">
        <x:v>ECONOMICS</x:v>
      </x:c>
      <x:c r="F9" s="57" t="str">
        <x:v>ECONOMICS</x:v>
      </x:c>
      <x:c r="H9" s="14" t="n">
        <x:v>4</x:v>
      </x:c>
      <x:c r="I9" s="60" t="n">
        <x:f>$B$14*$B$16*IF(H9&lt;=2,1,(1+$B$15)^(H9-2))</x:f>
        <x:v>3872000.0000000005</x:v>
      </x:c>
      <x:c r="J9" s="60" t="n">
        <x:f>J8+I9</x:f>
        <x:v>13792000</x:v>
      </x:c>
    </x:row>
    <x:row r="10" ht="24" customHeight="1">
      <x:c r="A10" s="14" t="str">
        <x:v>Revenue per used space</x:v>
      </x:c>
      <x:c r="B10" s="53" t="n">
        <x:v>10000</x:v>
      </x:c>
      <x:c r="C10" s="14" t="str">
        <x:v>$/space/year</x:v>
      </x:c>
      <x:c r="D10" s="28" t="n">
        <x:v>10000</x:v>
      </x:c>
      <x:c r="E10" s="15" t="str">
        <x:v>Earned only on occupied capacity</x:v>
      </x:c>
      <x:c r="F10" s="15" t="str">
        <x:v>MIT garage case</x:v>
      </x:c>
      <x:c r="H10" s="14" t="n">
        <x:v>5</x:v>
      </x:c>
      <x:c r="I10" s="60" t="n">
        <x:f>$B$14*$B$16*IF(H10&lt;=2,1,(1+$B$15)^(H10-2))</x:f>
        <x:v>4259200.000000001</x:v>
      </x:c>
      <x:c r="J10" s="60" t="n">
        <x:f>J9+I10</x:f>
        <x:v>18051200</x:v>
      </x:c>
    </x:row>
    <x:row r="11" ht="24" customHeight="1">
      <x:c r="A11" s="14" t="str">
        <x:v>Operating cost per capacity space</x:v>
      </x:c>
      <x:c r="B11" s="53" t="n">
        <x:v>2000</x:v>
      </x:c>
      <x:c r="C11" s="14" t="str">
        <x:v>$/space/year</x:v>
      </x:c>
      <x:c r="D11" s="28" t="n">
        <x:v>2000</x:v>
      </x:c>
      <x:c r="E11" s="15" t="str">
        <x:v>Paid on all built capacity</x:v>
      </x:c>
      <x:c r="F11" s="15" t="str">
        <x:v>MIT garage case</x:v>
      </x:c>
      <x:c r="H11" s="14" t="n">
        <x:v>6</x:v>
      </x:c>
      <x:c r="I11" s="60" t="n">
        <x:f>$B$14*$B$16*IF(H11&lt;=2,1,(1+$B$15)^(H11-2))</x:f>
        <x:v>4685120.000000001</x:v>
      </x:c>
      <x:c r="J11" s="60" t="n">
        <x:f>J10+I11</x:f>
        <x:v>22736320</x:v>
      </x:c>
    </x:row>
    <x:row r="12" ht="24" customHeight="1">
      <x:c r="A12" s="14" t="str">
        <x:v>Fixed land / lease cost</x:v>
      </x:c>
      <x:c r="B12" s="53" t="n">
        <x:v>3600000</x:v>
      </x:c>
      <x:c r="C12" s="14" t="str">
        <x:v>$/year</x:v>
      </x:c>
      <x:c r="D12" s="28" t="n">
        <x:v>3600000</x:v>
      </x:c>
      <x:c r="E12" s="15" t="str">
        <x:v>Paid during operating years</x:v>
      </x:c>
      <x:c r="F12" s="15" t="str">
        <x:v>MIT garage case</x:v>
      </x:c>
      <x:c r="H12" s="14" t="n">
        <x:v>7</x:v>
      </x:c>
      <x:c r="I12" s="60" t="n">
        <x:f>$B$14*$B$16*IF(H12&lt;=2,1,(1+$B$15)^(H12-2))</x:f>
        <x:v>5153632.000000002</x:v>
      </x:c>
      <x:c r="J12" s="60" t="n">
        <x:f>J11+I12</x:f>
        <x:v>27889952</x:v>
      </x:c>
    </x:row>
    <x:row r="13" ht="24" customHeight="1">
      <x:c r="A13" s="52" t="str">
        <x:v>DESIGN</x:v>
      </x:c>
      <x:c r="B13" s="54" t="str">
        <x:v>DESIGN</x:v>
      </x:c>
      <x:c r="C13" s="52" t="str">
        <x:v>DESIGN</x:v>
      </x:c>
      <x:c r="D13" s="54" t="str">
        <x:v>DESIGN</x:v>
      </x:c>
      <x:c r="E13" s="57" t="str">
        <x:v>DESIGN</x:v>
      </x:c>
      <x:c r="F13" s="57" t="str">
        <x:v>DESIGN</x:v>
      </x:c>
      <x:c r="H13" s="14" t="n">
        <x:v>8</x:v>
      </x:c>
      <x:c r="I13" s="60" t="n">
        <x:f>$B$14*$B$16*IF(H13&lt;=2,1,(1+$B$15)^(H13-2))</x:f>
        <x:v>5668995.200000003</x:v>
      </x:c>
      <x:c r="J13" s="60" t="n">
        <x:f>J12+I13</x:f>
        <x:v>33558947.2</x:v>
      </x:c>
    </x:row>
    <x:row r="14" ht="24" customHeight="1">
      <x:c r="A14" s="14" t="str">
        <x:v>Construction cost per space</x:v>
      </x:c>
      <x:c r="B14" s="53" t="n">
        <x:v>16000</x:v>
      </x:c>
      <x:c r="C14" s="14" t="str">
        <x:v>$/space</x:v>
      </x:c>
      <x:c r="D14" s="28" t="n">
        <x:v>16000</x:v>
      </x:c>
      <x:c r="E14" s="15" t="str">
        <x:v>Base cost before height escalation</x:v>
      </x:c>
      <x:c r="F14" s="15" t="str">
        <x:v>MIT garage case</x:v>
      </x:c>
      <x:c r="H14" s="14" t="n">
        <x:v>9</x:v>
      </x:c>
      <x:c r="I14" s="60" t="n">
        <x:f>$B$14*$B$16*IF(H14&lt;=2,1,(1+$B$15)^(H14-2))</x:f>
        <x:v>6235894.720000003</x:v>
      </x:c>
      <x:c r="J14" s="60" t="n">
        <x:f>J13+I14</x:f>
        <x:v>39794841.92000001</x:v>
      </x:c>
    </x:row>
    <x:row r="15" ht="24" customHeight="1">
      <x:c r="A15" s="14" t="str">
        <x:v>Cost escalation above Level 2</x:v>
      </x:c>
      <x:c r="B15" s="55" t="n">
        <x:v>0.1</x:v>
      </x:c>
      <x:c r="C15" s="14" t="str">
        <x:v>per level</x:v>
      </x:c>
      <x:c r="D15" s="56" t="n">
        <x:v>0.1</x:v>
      </x:c>
      <x:c r="E15" s="15" t="str">
        <x:v>Each higher level costs more</x:v>
      </x:c>
      <x:c r="F15" s="15" t="str">
        <x:v>MIT garage case</x:v>
      </x:c>
    </x:row>
    <x:row r="16" ht="24" customHeight="1">
      <x:c r="A16" s="14" t="str">
        <x:v>Capacity per level</x:v>
      </x:c>
      <x:c r="B16" s="24" t="n">
        <x:v>200</x:v>
      </x:c>
      <x:c r="C16" s="14" t="str">
        <x:v>spaces</x:v>
      </x:c>
      <x:c r="D16" s="14" t="n">
        <x:v>200</x:v>
      </x:c>
      <x:c r="E16" s="15" t="str">
        <x:v>Converts levels to capacity</x:v>
      </x:c>
      <x:c r="F16" s="15" t="str">
        <x:v>MIT garage case</x:v>
      </x:c>
      <x:c r="H16" s="32" t="str">
        <x:v>Construction cost logic: Levels 1–2 use the base cost. Each level above Level 2 is multiplied by the escalation rate compounded by height. This reproduces the original model’s $22.736 million cost for six levels at the base assumptions.</x:v>
      </x:c>
      <x:c r="I16" s="33" t="str">
        <x:v>Construction cost logic: Levels 1–2 use the base cost. Each level above Level 2 is multiplied by the escalation rate compounded by height. This reproduces the original model’s $22.736 million cost for six levels at the base assumptions.</x:v>
      </x:c>
      <x:c r="J16" s="34" t="str">
        <x:v>Construction cost logic: Levels 1–2 use the base cost. Each level above Level 2 is multiplied by the escalation rate compounded by height. This reproduces the original model’s $22.736 million cost for six levels at the base assumptions.</x:v>
      </x:c>
    </x:row>
    <x:row r="17" ht="24" customHeight="1">
      <x:c r="A17" s="14" t="str">
        <x:v>Fixed design levels</x:v>
      </x:c>
      <x:c r="B17" s="24" t="n">
        <x:v>6</x:v>
      </x:c>
      <x:c r="C17" s="14" t="str">
        <x:v>levels</x:v>
      </x:c>
      <x:c r="D17" s="14" t="n">
        <x:v>6</x:v>
      </x:c>
      <x:c r="E17" s="15" t="str">
        <x:v>Baseline all-at-once design</x:v>
      </x:c>
      <x:c r="F17" s="15" t="str">
        <x:v>Original deterministic design</x:v>
      </x:c>
      <x:c r="H17" s="35" t="str">
        <x:v>Construction cost logic: Levels 1–2 use the base cost. Each level above Level 2 is multiplied by the escalation rate compounded by height. This reproduces the original model’s $22.736 million cost for six levels at the base assumptions.</x:v>
      </x:c>
      <x:c r="I17" s="31" t="str">
        <x:v>Construction cost logic: Levels 1–2 use the base cost. Each level above Level 2 is multiplied by the escalation rate compounded by height. This reproduces the original model’s $22.736 million cost for six levels at the base assumptions.</x:v>
      </x:c>
      <x:c r="J17" s="36" t="str">
        <x:v>Construction cost logic: Levels 1–2 use the base cost. Each level above Level 2 is multiplied by the escalation rate compounded by height. This reproduces the original model’s $22.736 million cost for six levels at the base assumptions.</x:v>
      </x:c>
    </x:row>
    <x:row r="18" ht="24" customHeight="1">
      <x:c r="A18" s="14" t="str">
        <x:v>Flexible initial levels</x:v>
      </x:c>
      <x:c r="B18" s="24" t="n">
        <x:v>4</x:v>
      </x:c>
      <x:c r="C18" s="14" t="str">
        <x:v>levels</x:v>
      </x:c>
      <x:c r="D18" s="14" t="n">
        <x:v>4</x:v>
      </x:c>
      <x:c r="E18" s="15" t="str">
        <x:v>Smaller initial commitment</x:v>
      </x:c>
      <x:c r="F18" s="15" t="str">
        <x:v>Published flexible design</x:v>
      </x:c>
      <x:c r="H18" s="35" t="str">
        <x:v>Construction cost logic: Levels 1–2 use the base cost. Each level above Level 2 is multiplied by the escalation rate compounded by height. This reproduces the original model’s $22.736 million cost for six levels at the base assumptions.</x:v>
      </x:c>
      <x:c r="I18" s="31" t="str">
        <x:v>Construction cost logic: Levels 1–2 use the base cost. Each level above Level 2 is multiplied by the escalation rate compounded by height. This reproduces the original model’s $22.736 million cost for six levels at the base assumptions.</x:v>
      </x:c>
      <x:c r="J18" s="36" t="str">
        <x:v>Construction cost logic: Levels 1–2 use the base cost. Each level above Level 2 is multiplied by the escalation rate compounded by height. This reproduces the original model’s $22.736 million cost for six levels at the base assumptions.</x:v>
      </x:c>
    </x:row>
    <x:row r="19" ht="24" customHeight="1">
      <x:c r="A19" s="14" t="str">
        <x:v>Maximum levels</x:v>
      </x:c>
      <x:c r="B19" s="24" t="n">
        <x:v>9</x:v>
      </x:c>
      <x:c r="C19" s="14" t="str">
        <x:v>levels</x:v>
      </x:c>
      <x:c r="D19" s="14" t="n">
        <x:v>9</x:v>
      </x:c>
      <x:c r="E19" s="15" t="str">
        <x:v>Physical expansion ceiling</x:v>
      </x:c>
      <x:c r="F19" s="15" t="str">
        <x:v>MIT garage case</x:v>
      </x:c>
      <x:c r="H19" s="35" t="str">
        <x:v>Construction cost logic: Levels 1–2 use the base cost. Each level above Level 2 is multiplied by the escalation rate compounded by height. This reproduces the original model’s $22.736 million cost for six levels at the base assumptions.</x:v>
      </x:c>
      <x:c r="I19" s="31" t="str">
        <x:v>Construction cost logic: Levels 1–2 use the base cost. Each level above Level 2 is multiplied by the escalation rate compounded by height. This reproduces the original model’s $22.736 million cost for six levels at the base assumptions.</x:v>
      </x:c>
      <x:c r="J19" s="36" t="str">
        <x:v>Construction cost logic: Levels 1–2 use the base cost. Each level above Level 2 is multiplied by the escalation rate compounded by height. This reproduces the original model’s $22.736 million cost for six levels at the base assumptions.</x:v>
      </x:c>
    </x:row>
    <x:row r="20" ht="24" customHeight="1">
      <x:c r="A20" s="52" t="str">
        <x:v>TIMING &amp; RISK</x:v>
      </x:c>
      <x:c r="B20" s="52" t="str">
        <x:v>TIMING &amp; RISK</x:v>
      </x:c>
      <x:c r="C20" s="52" t="str">
        <x:v>TIMING &amp; RISK</x:v>
      </x:c>
      <x:c r="D20" s="52" t="str">
        <x:v>TIMING &amp; RISK</x:v>
      </x:c>
      <x:c r="E20" s="57" t="str">
        <x:v>TIMING &amp; RISK</x:v>
      </x:c>
      <x:c r="F20" s="57" t="str">
        <x:v>TIMING &amp; RISK</x:v>
      </x:c>
      <x:c r="H20" s="37" t="str">
        <x:v>Construction cost logic: Levels 1–2 use the base cost. Each level above Level 2 is multiplied by the escalation rate compounded by height. This reproduces the original model’s $22.736 million cost for six levels at the base assumptions.</x:v>
      </x:c>
      <x:c r="I20" s="38" t="str">
        <x:v>Construction cost logic: Levels 1–2 use the base cost. Each level above Level 2 is multiplied by the escalation rate compounded by height. This reproduces the original model’s $22.736 million cost for six levels at the base assumptions.</x:v>
      </x:c>
      <x:c r="J20" s="39" t="str">
        <x:v>Construction cost logic: Levels 1–2 use the base cost. Each level above Level 2 is multiplied by the escalation rate compounded by height. This reproduces the original model’s $22.736 million cost for six levels at the base assumptions.</x:v>
      </x:c>
    </x:row>
    <x:row r="21" ht="24" customHeight="1">
      <x:c r="A21" s="14" t="str">
        <x:v>Evaluation horizon</x:v>
      </x:c>
      <x:c r="B21" s="24" t="n">
        <x:v>20</x:v>
      </x:c>
      <x:c r="C21" s="14" t="str">
        <x:v>years</x:v>
      </x:c>
      <x:c r="D21" s="14" t="n">
        <x:v>20</x:v>
      </x:c>
      <x:c r="E21" s="15" t="str">
        <x:v>Years of operating cash flow</x:v>
      </x:c>
      <x:c r="F21" s="15" t="str">
        <x:v>MIT garage case</x:v>
      </x:c>
    </x:row>
    <x:row r="22" ht="24" customHeight="1">
      <x:c r="A22" s="14" t="str">
        <x:v>Discount rate</x:v>
      </x:c>
      <x:c r="B22" s="55" t="n">
        <x:v>0.12</x:v>
      </x:c>
      <x:c r="C22" s="14" t="str">
        <x:v>annual</x:v>
      </x:c>
      <x:c r="D22" s="56" t="n">
        <x:v>0.12</x:v>
      </x:c>
      <x:c r="E22" s="15" t="str">
        <x:v>Converts future cash flow to present value</x:v>
      </x:c>
      <x:c r="F22" s="15" t="str">
        <x:v>MIT garage case</x:v>
      </x:c>
    </x:row>
    <x:row r="23" ht="24" customHeight="1">
      <x:c r="A23" s="14" t="str">
        <x:v>Demand uncertainty range</x:v>
      </x:c>
      <x:c r="B23" s="55" t="n">
        <x:v>0.5</x:v>
      </x:c>
      <x:c r="C23" s="14" t="str">
        <x:v>± proportion</x:v>
      </x:c>
      <x:c r="D23" s="56" t="n">
        <x:v>0.5</x:v>
      </x:c>
      <x:c r="E23" s="15" t="str">
        <x:v>Reference for low/high scenarios</x:v>
      </x:c>
      <x:c r="F23" s="15" t="str">
        <x:v>MIT garage case</x:v>
      </x:c>
    </x:row>
    <x:row r="24" ht="24" customHeight="1">
      <x:c r="A24" s="14" t="str">
        <x:v>Annual demand volatility</x:v>
      </x:c>
      <x:c r="B24" s="55" t="n">
        <x:v>0.15</x:v>
      </x:c>
      <x:c r="C24" s="14" t="str">
        <x:v>annual</x:v>
      </x:c>
      <x:c r="D24" s="56" t="n">
        <x:v>0.15</x:v>
      </x:c>
      <x:c r="E24" s="15" t="str">
        <x:v>Reference for original Monte Carlo model</x:v>
      </x:c>
      <x:c r="F24" s="15" t="str">
        <x:v>MIT garage case</x:v>
      </x:c>
    </x:row>
    <x:row r="25" ht="24" customHeight="1">
      <x:c r="A25" s="14" t="str">
        <x:v>Flexible-design premium</x:v>
      </x:c>
      <x:c r="B25" s="55" t="n">
        <x:v>0.05</x:v>
      </x:c>
      <x:c r="C25" s="14" t="str">
        <x:v>initial cost</x:v>
      </x:c>
      <x:c r="D25" s="56" t="n">
        <x:v>0.05</x:v>
      </x:c>
      <x:c r="E25" s="15" t="str">
        <x:v>Illustrative premium for stronger columns</x:v>
      </x:c>
      <x:c r="F25" s="15" t="str">
        <x:v>Teaching assumption — editable</x:v>
      </x:c>
    </x:row>
    <x:row r="26" ht="24" customHeight="1">
      <x:c r="A26" s="14" t="str">
        <x:v>Consecutive constrained years</x:v>
      </x:c>
      <x:c r="B26" s="24" t="n">
        <x:v>2</x:v>
      </x:c>
      <x:c r="C26" s="14" t="str">
        <x:v>years</x:v>
      </x:c>
      <x:c r="D26" s="14" t="n">
        <x:v>2</x:v>
      </x:c>
      <x:c r="E26" s="15" t="str">
        <x:v>Expansion trigger</x:v>
      </x:c>
      <x:c r="F26" s="15" t="str">
        <x:v>Published case logic</x:v>
      </x:c>
    </x:row>
    <x:row r="27" ht="24" customHeight="1">
      <x:c r="A27" s="14" t="str">
        <x:v>Expansion increment</x:v>
      </x:c>
      <x:c r="B27" s="24" t="n">
        <x:v>1</x:v>
      </x:c>
      <x:c r="C27" s="14" t="str">
        <x:v>level</x:v>
      </x:c>
      <x:c r="D27" s="14" t="n">
        <x:v>1</x:v>
      </x:c>
      <x:c r="E27" s="15" t="str">
        <x:v>Levels added per trigger</x:v>
      </x:c>
      <x:c r="F27" s="15" t="str">
        <x:v>Teaching assumption — editable</x:v>
      </x:c>
    </x:row>
    <x:row r="28" ht="24" customHeight="1"/>
    <x:row r="29" ht="24" customHeight="1">
      <x:c r="A29" s="8" t="str">
        <x:v>Derived demand-curve parameters — formulas, do not overwrite</x:v>
      </x:c>
      <x:c r="B29" s="8" t="str">
        <x:v>Derived demand-curve parameters — formulas, do not overwrite</x:v>
      </x:c>
      <x:c r="C29" s="8" t="str">
        <x:v>Derived demand-curve parameters — formulas, do not overwrite</x:v>
      </x:c>
      <x:c r="D29" s="8" t="str">
        <x:v>Derived demand-curve parameters — formulas, do not overwrite</x:v>
      </x:c>
      <x:c r="E29" s="8" t="str">
        <x:v>Derived demand-curve parameters — formulas, do not overwrite</x:v>
      </x:c>
      <x:c r="F29" s="8" t="str">
        <x:v>Derived demand-curve parameters — formulas, do not overwrite</x:v>
      </x:c>
    </x:row>
    <x:row r="30" ht="24" customHeight="1">
      <x:c r="A30" s="14" t="str">
        <x:v>Final demand</x:v>
      </x:c>
      <x:c r="B30" s="59" t="n">
        <x:f>B6+B7+B8</x:f>
        <x:v>1750</x:v>
      </x:c>
      <x:c r="C30" s="14" t="str">
        <x:v>spaces</x:v>
      </x:c>
      <x:c r="D30" s="15" t="str">
        <x:v>Long-run demand = opening + both additions</x:v>
      </x:c>
      <x:c r="E30" s="15"/>
      <x:c r="F30" s="15"/>
    </x:row>
    <x:row r="31" ht="24" customHeight="1">
      <x:c r="A31" s="14" t="str">
        <x:v>Alpha</x:v>
      </x:c>
      <x:c r="B31" s="59" t="n">
        <x:f>B30-B6</x:f>
        <x:v>1000</x:v>
      </x:c>
      <x:c r="C31" s="14" t="str">
        <x:v>spaces</x:v>
      </x:c>
      <x:c r="D31" s="15" t="str">
        <x:v>Gap between opening and long-run demand</x:v>
      </x:c>
      <x:c r="E31" s="15"/>
      <x:c r="F31" s="15"/>
    </x:row>
    <x:row r="32" ht="24" customHeight="1">
      <x:c r="A32" s="14" t="str">
        <x:v>Beta</x:v>
      </x:c>
      <x:c r="B32" s="59" t="n">
        <x:f>LN(B31/(B30-(B6+B7)))/9</x:f>
        <x:v>0.15403270679109896</x:v>
      </x:c>
      <x:c r="C32" s="14" t="str">
        <x:v>curve rate</x:v>
      </x:c>
      <x:c r="D32" s="15" t="str">
        <x:v>Calibrated so demand reaches opening + first addition in Year 10</x:v>
      </x:c>
      <x:c r="E32" s="15"/>
      <x:c r="F32" s="15"/>
    </x:row>
  </x:sheetData>
  <x:mergeCells>
    <x:mergeCell ref="A1:F2"/>
    <x:mergeCell ref="A5:F5"/>
    <x:mergeCell ref="A9:F9"/>
    <x:mergeCell ref="A13:F13"/>
    <x:mergeCell ref="A20:F20"/>
    <x:mergeCell ref="A29:F29"/>
    <x:mergeCell ref="D30:F30"/>
    <x:mergeCell ref="D31:F31"/>
    <x:mergeCell ref="D32:F32"/>
    <x:mergeCell ref="H4:J4"/>
    <x:mergeCell ref="H16:J20"/>
  </x:mergeCells>
  <x:dataValidations count="2">
    <x:dataValidation type="whole" operator="between" sqref="B17:B19">
      <x:formula1>1</x:formula1>
      <x:formula2>9</x:formula2>
    </x:dataValidation>
    <x:dataValidation type="whole" operator="between" sqref="B27">
      <x:formula1>1</x:formula1>
      <x:formula2>3</x:formula2>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23" hidden="0" customWidth="1"/>
    <x:col min="2" max="2" width="11" hidden="0" customWidth="1"/>
    <x:col min="3" max="3" width="11" hidden="0" customWidth="1"/>
    <x:col min="4" max="4" width="11" hidden="0" customWidth="1"/>
    <x:col min="5" max="5" width="11" hidden="0" customWidth="1"/>
    <x:col min="6" max="6" width="11" hidden="0" customWidth="1"/>
    <x:col min="7" max="7" width="11" hidden="0" customWidth="1"/>
    <x:col min="8" max="8" width="11" hidden="0" customWidth="1"/>
    <x:col min="9" max="9" width="11" hidden="0" customWidth="1"/>
    <x:col min="10" max="10" width="11" hidden="0" customWidth="1"/>
    <x:col min="11" max="11" width="11" hidden="0" customWidth="1"/>
    <x:col min="12" max="12" width="11" hidden="0" customWidth="1"/>
    <x:col min="13" max="13" width="11" hidden="0" customWidth="1"/>
    <x:col min="14" max="14" width="11" hidden="0" customWidth="1"/>
    <x:col min="15" max="15" width="11" hidden="0" customWidth="1"/>
    <x:col min="16" max="16" width="11" hidden="0" customWidth="1"/>
    <x:col min="17" max="17" width="11" hidden="0" customWidth="1"/>
    <x:col min="18" max="18" width="11" hidden="0" customWidth="1"/>
    <x:col min="19" max="19" width="11" hidden="0" customWidth="1"/>
    <x:col min="20" max="20" width="11" hidden="0" customWidth="1"/>
    <x:col min="21" max="21" width="11" hidden="0" customWidth="1"/>
    <x:col min="22" max="22" width="11" hidden="0" customWidth="1"/>
  </x:cols>
  <x:sheetData>
    <x:row r="1" ht="34" customHeight="1">
      <x:c r="A1" s="3" t="str">
        <x:v>Deterministic Baseline — fixed six-level design</x:v>
      </x:c>
      <x:c r="B1" s="3" t="str">
        <x:v>Deterministic Baseline — fixed six-level design</x:v>
      </x:c>
      <x:c r="C1" s="3" t="str">
        <x:v>Deterministic Baseline — fixed six-level design</x:v>
      </x:c>
      <x:c r="D1" s="3" t="str">
        <x:v>Deterministic Baseline — fixed six-level design</x:v>
      </x:c>
      <x:c r="E1" s="3" t="str">
        <x:v>Deterministic Baseline — fixed six-level design</x:v>
      </x:c>
      <x:c r="F1" s="3" t="str">
        <x:v>Deterministic Baseline — fixed six-level design</x:v>
      </x:c>
      <x:c r="G1" s="3" t="str">
        <x:v>Deterministic Baseline — fixed six-level design</x:v>
      </x:c>
      <x:c r="H1" s="3" t="str">
        <x:v>Deterministic Baseline — fixed six-level design</x:v>
      </x:c>
      <x:c r="I1" s="3" t="str">
        <x:v>Deterministic Baseline — fixed six-level design</x:v>
      </x:c>
      <x:c r="J1" s="3" t="str">
        <x:v>Deterministic Baseline — fixed six-level design</x:v>
      </x:c>
      <x:c r="K1" s="3" t="str">
        <x:v>Deterministic Baseline — fixed six-level design</x:v>
      </x:c>
      <x:c r="L1" s="3" t="str">
        <x:v>Deterministic Baseline — fixed six-level design</x:v>
      </x:c>
      <x:c r="M1" s="3" t="str">
        <x:v>Deterministic Baseline — fixed six-level design</x:v>
      </x:c>
      <x:c r="N1" s="3" t="str">
        <x:v>Deterministic Baseline — fixed six-level design</x:v>
      </x:c>
      <x:c r="O1" s="3" t="str">
        <x:v>Deterministic Baseline — fixed six-level design</x:v>
      </x:c>
      <x:c r="P1" s="3" t="str">
        <x:v>Deterministic Baseline — fixed six-level design</x:v>
      </x:c>
      <x:c r="Q1" s="3" t="str">
        <x:v>Deterministic Baseline — fixed six-level design</x:v>
      </x:c>
      <x:c r="R1" s="3" t="str">
        <x:v>Deterministic Baseline — fixed six-level design</x:v>
      </x:c>
      <x:c r="S1" s="3" t="str">
        <x:v>Deterministic Baseline — fixed six-level design</x:v>
      </x:c>
      <x:c r="T1" s="3" t="str">
        <x:v>Deterministic Baseline — fixed six-level design</x:v>
      </x:c>
      <x:c r="U1" s="3" t="str">
        <x:v>Deterministic Baseline — fixed six-level design</x:v>
      </x:c>
      <x:c r="V1" s="3" t="str">
        <x:v>Deterministic Baseline — fixed six-level design</x:v>
      </x:c>
    </x:row>
    <x:row r="2" ht="34" customHeight="1">
      <x:c r="A2" s="3" t="str">
        <x:v>Deterministic Baseline — fixed six-level design</x:v>
      </x:c>
      <x:c r="B2" s="3" t="str">
        <x:v>Deterministic Baseline — fixed six-level design</x:v>
      </x:c>
      <x:c r="C2" s="3" t="str">
        <x:v>Deterministic Baseline — fixed six-level design</x:v>
      </x:c>
      <x:c r="D2" s="3" t="str">
        <x:v>Deterministic Baseline — fixed six-level design</x:v>
      </x:c>
      <x:c r="E2" s="3" t="str">
        <x:v>Deterministic Baseline — fixed six-level design</x:v>
      </x:c>
      <x:c r="F2" s="3" t="str">
        <x:v>Deterministic Baseline — fixed six-level design</x:v>
      </x:c>
      <x:c r="G2" s="3" t="str">
        <x:v>Deterministic Baseline — fixed six-level design</x:v>
      </x:c>
      <x:c r="H2" s="3" t="str">
        <x:v>Deterministic Baseline — fixed six-level design</x:v>
      </x:c>
      <x:c r="I2" s="3" t="str">
        <x:v>Deterministic Baseline — fixed six-level design</x:v>
      </x:c>
      <x:c r="J2" s="3" t="str">
        <x:v>Deterministic Baseline — fixed six-level design</x:v>
      </x:c>
      <x:c r="K2" s="3" t="str">
        <x:v>Deterministic Baseline — fixed six-level design</x:v>
      </x:c>
      <x:c r="L2" s="3" t="str">
        <x:v>Deterministic Baseline — fixed six-level design</x:v>
      </x:c>
      <x:c r="M2" s="3" t="str">
        <x:v>Deterministic Baseline — fixed six-level design</x:v>
      </x:c>
      <x:c r="N2" s="3" t="str">
        <x:v>Deterministic Baseline — fixed six-level design</x:v>
      </x:c>
      <x:c r="O2" s="3" t="str">
        <x:v>Deterministic Baseline — fixed six-level design</x:v>
      </x:c>
      <x:c r="P2" s="3" t="str">
        <x:v>Deterministic Baseline — fixed six-level design</x:v>
      </x:c>
      <x:c r="Q2" s="3" t="str">
        <x:v>Deterministic Baseline — fixed six-level design</x:v>
      </x:c>
      <x:c r="R2" s="3" t="str">
        <x:v>Deterministic Baseline — fixed six-level design</x:v>
      </x:c>
      <x:c r="S2" s="3" t="str">
        <x:v>Deterministic Baseline — fixed six-level design</x:v>
      </x:c>
      <x:c r="T2" s="3" t="str">
        <x:v>Deterministic Baseline — fixed six-level design</x:v>
      </x:c>
      <x:c r="U2" s="3" t="str">
        <x:v>Deterministic Baseline — fixed six-level design</x:v>
      </x:c>
      <x:c r="V2" s="3" t="str">
        <x:v>Deterministic Baseline — fixed six-level design</x:v>
      </x:c>
    </x:row>
    <x:row r="4" ht="21" customHeight="1">
      <x:c r="A4" s="46" t="str">
        <x:v>Year</x:v>
      </x:c>
      <x:c r="B4" s="46" t="n">
        <x:v>0</x:v>
      </x:c>
      <x:c r="C4" s="46" t="n">
        <x:v>1</x:v>
      </x:c>
      <x:c r="D4" s="46" t="n">
        <x:v>2</x:v>
      </x:c>
      <x:c r="E4" s="46" t="n">
        <x:v>3</x:v>
      </x:c>
      <x:c r="F4" s="46" t="n">
        <x:v>4</x:v>
      </x:c>
      <x:c r="G4" s="46" t="n">
        <x:v>5</x:v>
      </x:c>
      <x:c r="H4" s="46" t="n">
        <x:v>6</x:v>
      </x:c>
      <x:c r="I4" s="46" t="n">
        <x:v>7</x:v>
      </x:c>
      <x:c r="J4" s="46" t="n">
        <x:v>8</x:v>
      </x:c>
      <x:c r="K4" s="46" t="n">
        <x:v>9</x:v>
      </x:c>
      <x:c r="L4" s="46" t="n">
        <x:v>10</x:v>
      </x:c>
      <x:c r="M4" s="46" t="n">
        <x:v>11</x:v>
      </x:c>
      <x:c r="N4" s="46" t="n">
        <x:v>12</x:v>
      </x:c>
      <x:c r="O4" s="46" t="n">
        <x:v>13</x:v>
      </x:c>
      <x:c r="P4" s="46" t="n">
        <x:v>14</x:v>
      </x:c>
      <x:c r="Q4" s="46" t="n">
        <x:v>15</x:v>
      </x:c>
      <x:c r="R4" s="46" t="n">
        <x:v>16</x:v>
      </x:c>
      <x:c r="S4" s="46" t="n">
        <x:v>17</x:v>
      </x:c>
      <x:c r="T4" s="46" t="n">
        <x:v>18</x:v>
      </x:c>
      <x:c r="U4" s="46" t="n">
        <x:v>19</x:v>
      </x:c>
      <x:c r="V4" s="46" t="n">
        <x:v>20</x:v>
      </x:c>
      <x:c r="X4" s="46" t="str">
        <x:v>Year</x:v>
      </x:c>
      <x:c r="Y4" s="46" t="str">
        <x:v>Demand</x:v>
      </x:c>
      <x:c r="Z4" s="46" t="str">
        <x:v>Capacity</x:v>
      </x:c>
    </x:row>
    <x:row r="5" ht="21" customHeight="1">
      <x:c r="A5" s="14"/>
      <x:c r="B5" s="14"/>
      <x:c r="C5" s="14"/>
      <x:c r="D5" s="14"/>
      <x:c r="E5" s="14"/>
      <x:c r="F5" s="14"/>
      <x:c r="G5" s="14"/>
      <x:c r="H5" s="14"/>
      <x:c r="I5" s="14"/>
      <x:c r="J5" s="14"/>
      <x:c r="K5" s="14"/>
      <x:c r="L5" s="14"/>
      <x:c r="M5" s="14"/>
      <x:c r="N5" s="14"/>
      <x:c r="O5" s="14"/>
      <x:c r="P5" s="14"/>
      <x:c r="Q5" s="14"/>
      <x:c r="R5" s="14"/>
      <x:c r="S5" s="14"/>
      <x:c r="T5" s="14"/>
      <x:c r="U5" s="14"/>
      <x:c r="V5" s="14"/>
      <x:c r="X5" s="14" t="n">
        <x:v>0</x:v>
      </x:c>
      <x:c r="Y5" s="66" t="n">
        <x:f>B6</x:f>
        <x:v>0</x:v>
      </x:c>
      <x:c r="Z5" s="66" t="n">
        <x:f>B7</x:f>
        <x:v>0</x:v>
      </x:c>
    </x:row>
    <x:row r="6" ht="21" customHeight="1">
      <x:c r="A6" s="13" t="str">
        <x:v>Projected demand</x:v>
      </x:c>
      <x:c r="B6" s="68" t="n">
        <x:v>0</x:v>
      </x:c>
      <x:c r="C6" s="68" t="n">
        <x:f>'Inputs'!$B$30-'Inputs'!$B$31*EXP(-'Inputs'!$B$32*(C$4-1))</x:f>
        <x:v>750</x:v>
      </x:c>
      <x:c r="D6" s="68" t="n">
        <x:f>'Inputs'!$B$30-'Inputs'!$B$31*EXP(-'Inputs'!$B$32*(D$4-1))</x:f>
        <x:v>892.7560171469272</x:v>
      </x:c>
      <x:c r="E6" s="68" t="n">
        <x:f>'Inputs'!$B$30-'Inputs'!$B$31*EXP(-'Inputs'!$B$32*(E$4-1))</x:f>
        <x:v>1015.1327538622006</x:v>
      </x:c>
      <x:c r="F6" s="68" t="n">
        <x:f>'Inputs'!$B$30-'Inputs'!$B$31*EXP(-'Inputs'!$B$32*(F$4-1))</x:f>
        <x:v>1120.0394750525634</x:v>
      </x:c>
      <x:c r="G6" s="68" t="n">
        <x:f>'Inputs'!$B$30-'Inputs'!$B$31*EXP(-'Inputs'!$B$32*(G$4-1))</x:f>
        <x:v>1209.970130553847</x:v>
      </x:c>
      <x:c r="H6" s="68" t="n">
        <x:f>'Inputs'!$B$30-'Inputs'!$B$31*EXP(-'Inputs'!$B$32*(H$4-1))</x:f>
        <x:v>1287.0626438563547</x:v>
      </x:c>
      <x:c r="I6" s="68" t="n">
        <x:f>'Inputs'!$B$30-'Inputs'!$B$31*EXP(-'Inputs'!$B$32*(I$4-1))</x:f>
        <x:v>1353.14973700795</x:v>
      </x:c>
      <x:c r="J6" s="68" t="n">
        <x:f>'Inputs'!$B$30-'Inputs'!$B$31*EXP(-'Inputs'!$B$32*(J$4-1))</x:f>
        <x:v>1409.8024999564059</x:v>
      </x:c>
      <x:c r="K6" s="68" t="n">
        <x:f>'Inputs'!$B$30-'Inputs'!$B$31*EXP(-'Inputs'!$B$32*(K$4-1))</x:f>
        <x:v>1458.3677401059708</x:v>
      </x:c>
      <x:c r="L6" s="68" t="n">
        <x:f>'Inputs'!$B$30-'Inputs'!$B$31*EXP(-'Inputs'!$B$32*(L$4-1))</x:f>
        <x:v>1500</x:v>
      </x:c>
      <x:c r="M6" s="68" t="n">
        <x:f>'Inputs'!$B$30-'Inputs'!$B$31*EXP(-'Inputs'!$B$32*(M$4-1))</x:f>
        <x:v>1535.6890042867317</x:v>
      </x:c>
      <x:c r="N6" s="68" t="n">
        <x:f>'Inputs'!$B$30-'Inputs'!$B$31*EXP(-'Inputs'!$B$32*(N$4-1))</x:f>
        <x:v>1566.2831884655502</x:v>
      </x:c>
      <x:c r="O6" s="68" t="n">
        <x:f>'Inputs'!$B$30-'Inputs'!$B$31*EXP(-'Inputs'!$B$32*(O$4-1))</x:f>
        <x:v>1592.509868763141</x:v>
      </x:c>
      <x:c r="P6" s="68" t="n">
        <x:f>'Inputs'!$B$30-'Inputs'!$B$31*EXP(-'Inputs'!$B$32*(P$4-1))</x:f>
        <x:v>1614.9925326384619</x:v>
      </x:c>
      <x:c r="Q6" s="68" t="n">
        <x:f>'Inputs'!$B$30-'Inputs'!$B$31*EXP(-'Inputs'!$B$32*(Q$4-1))</x:f>
        <x:v>1634.2656609640887</x:v>
      </x:c>
      <x:c r="R6" s="68" t="n">
        <x:f>'Inputs'!$B$30-'Inputs'!$B$31*EXP(-'Inputs'!$B$32*(R$4-1))</x:f>
        <x:v>1650.7874342519876</x:v>
      </x:c>
      <x:c r="S6" s="68" t="n">
        <x:f>'Inputs'!$B$30-'Inputs'!$B$31*EXP(-'Inputs'!$B$32*(S$4-1))</x:f>
        <x:v>1664.9506249891015</x:v>
      </x:c>
      <x:c r="T6" s="68" t="n">
        <x:f>'Inputs'!$B$30-'Inputs'!$B$31*EXP(-'Inputs'!$B$32*(T$4-1))</x:f>
        <x:v>1677.0919350264926</x:v>
      </x:c>
      <x:c r="U6" s="68" t="n">
        <x:f>'Inputs'!$B$30-'Inputs'!$B$31*EXP(-'Inputs'!$B$32*(U$4-1))</x:f>
        <x:v>1687.5</x:v>
      </x:c>
      <x:c r="V6" s="68" t="n">
        <x:f>'Inputs'!$B$30-'Inputs'!$B$31*EXP(-'Inputs'!$B$32*(V$4-1))</x:f>
        <x:v>1696.422251071683</x:v>
      </x:c>
      <x:c r="X6" s="14" t="n">
        <x:v>1</x:v>
      </x:c>
      <x:c r="Y6" s="66" t="n">
        <x:f>C6</x:f>
        <x:v>750</x:v>
      </x:c>
      <x:c r="Z6" s="66" t="n">
        <x:f>C7</x:f>
        <x:v>1200</x:v>
      </x:c>
    </x:row>
    <x:row r="7" ht="21" customHeight="1">
      <x:c r="A7" s="13" t="str">
        <x:v>Built capacity</x:v>
      </x:c>
      <x:c r="B7" s="68" t="n">
        <x:v>0</x:v>
      </x:c>
      <x:c r="C7" s="68" t="n">
        <x:f>'Inputs'!$B$17*'Inputs'!$B$16</x:f>
        <x:v>1200</x:v>
      </x:c>
      <x:c r="D7" s="68" t="n">
        <x:f>'Inputs'!$B$17*'Inputs'!$B$16</x:f>
        <x:v>1200</x:v>
      </x:c>
      <x:c r="E7" s="68" t="n">
        <x:f>'Inputs'!$B$17*'Inputs'!$B$16</x:f>
        <x:v>1200</x:v>
      </x:c>
      <x:c r="F7" s="68" t="n">
        <x:f>'Inputs'!$B$17*'Inputs'!$B$16</x:f>
        <x:v>1200</x:v>
      </x:c>
      <x:c r="G7" s="68" t="n">
        <x:f>'Inputs'!$B$17*'Inputs'!$B$16</x:f>
        <x:v>1200</x:v>
      </x:c>
      <x:c r="H7" s="68" t="n">
        <x:f>'Inputs'!$B$17*'Inputs'!$B$16</x:f>
        <x:v>1200</x:v>
      </x:c>
      <x:c r="I7" s="68" t="n">
        <x:f>'Inputs'!$B$17*'Inputs'!$B$16</x:f>
        <x:v>1200</x:v>
      </x:c>
      <x:c r="J7" s="68" t="n">
        <x:f>'Inputs'!$B$17*'Inputs'!$B$16</x:f>
        <x:v>1200</x:v>
      </x:c>
      <x:c r="K7" s="68" t="n">
        <x:f>'Inputs'!$B$17*'Inputs'!$B$16</x:f>
        <x:v>1200</x:v>
      </x:c>
      <x:c r="L7" s="68" t="n">
        <x:f>'Inputs'!$B$17*'Inputs'!$B$16</x:f>
        <x:v>1200</x:v>
      </x:c>
      <x:c r="M7" s="68" t="n">
        <x:f>'Inputs'!$B$17*'Inputs'!$B$16</x:f>
        <x:v>1200</x:v>
      </x:c>
      <x:c r="N7" s="68" t="n">
        <x:f>'Inputs'!$B$17*'Inputs'!$B$16</x:f>
        <x:v>1200</x:v>
      </x:c>
      <x:c r="O7" s="68" t="n">
        <x:f>'Inputs'!$B$17*'Inputs'!$B$16</x:f>
        <x:v>1200</x:v>
      </x:c>
      <x:c r="P7" s="68" t="n">
        <x:f>'Inputs'!$B$17*'Inputs'!$B$16</x:f>
        <x:v>1200</x:v>
      </x:c>
      <x:c r="Q7" s="68" t="n">
        <x:f>'Inputs'!$B$17*'Inputs'!$B$16</x:f>
        <x:v>1200</x:v>
      </x:c>
      <x:c r="R7" s="68" t="n">
        <x:f>'Inputs'!$B$17*'Inputs'!$B$16</x:f>
        <x:v>1200</x:v>
      </x:c>
      <x:c r="S7" s="68" t="n">
        <x:f>'Inputs'!$B$17*'Inputs'!$B$16</x:f>
        <x:v>1200</x:v>
      </x:c>
      <x:c r="T7" s="68" t="n">
        <x:f>'Inputs'!$B$17*'Inputs'!$B$16</x:f>
        <x:v>1200</x:v>
      </x:c>
      <x:c r="U7" s="68" t="n">
        <x:f>'Inputs'!$B$17*'Inputs'!$B$16</x:f>
        <x:v>1200</x:v>
      </x:c>
      <x:c r="V7" s="68" t="n">
        <x:f>'Inputs'!$B$17*'Inputs'!$B$16</x:f>
        <x:v>1200</x:v>
      </x:c>
      <x:c r="X7" s="14" t="n">
        <x:v>2</x:v>
      </x:c>
      <x:c r="Y7" s="66" t="n">
        <x:f>D6</x:f>
        <x:v>892.7560171469272</x:v>
      </x:c>
      <x:c r="Z7" s="66" t="n">
        <x:f>D7</x:f>
        <x:v>1200</x:v>
      </x:c>
    </x:row>
    <x:row r="8" ht="21" customHeight="1">
      <x:c r="A8" s="13" t="str">
        <x:v>Used capacity</x:v>
      </x:c>
      <x:c r="B8" s="68" t="n">
        <x:v>0</x:v>
      </x:c>
      <x:c r="C8" s="68" t="n">
        <x:f>MIN(C6,C7)</x:f>
        <x:v>750</x:v>
      </x:c>
      <x:c r="D8" s="68" t="n">
        <x:f>MIN(D6,D7)</x:f>
        <x:v>892.7560171469272</x:v>
      </x:c>
      <x:c r="E8" s="68" t="n">
        <x:f>MIN(E6,E7)</x:f>
        <x:v>1015.1327538622006</x:v>
      </x:c>
      <x:c r="F8" s="68" t="n">
        <x:f>MIN(F6,F7)</x:f>
        <x:v>1120.0394750525634</x:v>
      </x:c>
      <x:c r="G8" s="68" t="n">
        <x:f>MIN(G6,G7)</x:f>
        <x:v>1200</x:v>
      </x:c>
      <x:c r="H8" s="68" t="n">
        <x:f>MIN(H6,H7)</x:f>
        <x:v>1200</x:v>
      </x:c>
      <x:c r="I8" s="68" t="n">
        <x:f>MIN(I6,I7)</x:f>
        <x:v>1200</x:v>
      </x:c>
      <x:c r="J8" s="68" t="n">
        <x:f>MIN(J6,J7)</x:f>
        <x:v>1200</x:v>
      </x:c>
      <x:c r="K8" s="68" t="n">
        <x:f>MIN(K6,K7)</x:f>
        <x:v>1200</x:v>
      </x:c>
      <x:c r="L8" s="68" t="n">
        <x:f>MIN(L6,L7)</x:f>
        <x:v>1200</x:v>
      </x:c>
      <x:c r="M8" s="68" t="n">
        <x:f>MIN(M6,M7)</x:f>
        <x:v>1200</x:v>
      </x:c>
      <x:c r="N8" s="68" t="n">
        <x:f>MIN(N6,N7)</x:f>
        <x:v>1200</x:v>
      </x:c>
      <x:c r="O8" s="68" t="n">
        <x:f>MIN(O6,O7)</x:f>
        <x:v>1200</x:v>
      </x:c>
      <x:c r="P8" s="68" t="n">
        <x:f>MIN(P6,P7)</x:f>
        <x:v>1200</x:v>
      </x:c>
      <x:c r="Q8" s="68" t="n">
        <x:f>MIN(Q6,Q7)</x:f>
        <x:v>1200</x:v>
      </x:c>
      <x:c r="R8" s="68" t="n">
        <x:f>MIN(R6,R7)</x:f>
        <x:v>1200</x:v>
      </x:c>
      <x:c r="S8" s="68" t="n">
        <x:f>MIN(S6,S7)</x:f>
        <x:v>1200</x:v>
      </x:c>
      <x:c r="T8" s="68" t="n">
        <x:f>MIN(T6,T7)</x:f>
        <x:v>1200</x:v>
      </x:c>
      <x:c r="U8" s="68" t="n">
        <x:f>MIN(U6,U7)</x:f>
        <x:v>1200</x:v>
      </x:c>
      <x:c r="V8" s="68" t="n">
        <x:f>MIN(V6,V7)</x:f>
        <x:v>1200</x:v>
      </x:c>
      <x:c r="X8" s="14" t="n">
        <x:v>3</x:v>
      </x:c>
      <x:c r="Y8" s="66" t="n">
        <x:f>E6</x:f>
        <x:v>1015.1327538622006</x:v>
      </x:c>
      <x:c r="Z8" s="66" t="n">
        <x:f>E7</x:f>
        <x:v>1200</x:v>
      </x:c>
    </x:row>
    <x:row r="9" ht="21" customHeight="1">
      <x:c r="A9" s="13" t="str"/>
      <x:c r="B9" s="25"/>
      <x:c r="C9" s="25"/>
      <x:c r="D9" s="25"/>
      <x:c r="E9" s="25"/>
      <x:c r="F9" s="25"/>
      <x:c r="G9" s="25"/>
      <x:c r="H9" s="25"/>
      <x:c r="I9" s="25"/>
      <x:c r="J9" s="25"/>
      <x:c r="K9" s="25"/>
      <x:c r="L9" s="25"/>
      <x:c r="M9" s="25"/>
      <x:c r="N9" s="25"/>
      <x:c r="O9" s="25"/>
      <x:c r="P9" s="25"/>
      <x:c r="Q9" s="25"/>
      <x:c r="R9" s="25"/>
      <x:c r="S9" s="25"/>
      <x:c r="T9" s="25"/>
      <x:c r="U9" s="25"/>
      <x:c r="V9" s="25"/>
      <x:c r="X9" s="14" t="n">
        <x:v>4</x:v>
      </x:c>
      <x:c r="Y9" s="66" t="n">
        <x:f>F6</x:f>
        <x:v>1120.0394750525634</x:v>
      </x:c>
      <x:c r="Z9" s="66" t="n">
        <x:f>F7</x:f>
        <x:v>1200</x:v>
      </x:c>
    </x:row>
    <x:row r="10" ht="21" customHeight="1">
      <x:c r="A10" s="13" t="str">
        <x:v>Revenue</x:v>
      </x:c>
      <x:c r="B10" s="60" t="n">
        <x:v>0</x:v>
      </x:c>
      <x:c r="C10" s="60" t="n">
        <x:f>C8*'Inputs'!$B$10</x:f>
        <x:v>7500000</x:v>
      </x:c>
      <x:c r="D10" s="60" t="n">
        <x:f>D8*'Inputs'!$B$10</x:f>
        <x:v>8927560.171469271</x:v>
      </x:c>
      <x:c r="E10" s="60" t="n">
        <x:f>E8*'Inputs'!$B$10</x:f>
        <x:v>10151327.538622007</x:v>
      </x:c>
      <x:c r="F10" s="60" t="n">
        <x:f>F8*'Inputs'!$B$10</x:f>
        <x:v>11200394.750525633</x:v>
      </x:c>
      <x:c r="G10" s="60" t="n">
        <x:f>G8*'Inputs'!$B$10</x:f>
        <x:v>12000000</x:v>
      </x:c>
      <x:c r="H10" s="60" t="n">
        <x:f>H8*'Inputs'!$B$10</x:f>
        <x:v>12000000</x:v>
      </x:c>
      <x:c r="I10" s="60" t="n">
        <x:f>I8*'Inputs'!$B$10</x:f>
        <x:v>12000000</x:v>
      </x:c>
      <x:c r="J10" s="60" t="n">
        <x:f>J8*'Inputs'!$B$10</x:f>
        <x:v>12000000</x:v>
      </x:c>
      <x:c r="K10" s="60" t="n">
        <x:f>K8*'Inputs'!$B$10</x:f>
        <x:v>12000000</x:v>
      </x:c>
      <x:c r="L10" s="60" t="n">
        <x:f>L8*'Inputs'!$B$10</x:f>
        <x:v>12000000</x:v>
      </x:c>
      <x:c r="M10" s="60" t="n">
        <x:f>M8*'Inputs'!$B$10</x:f>
        <x:v>12000000</x:v>
      </x:c>
      <x:c r="N10" s="60" t="n">
        <x:f>N8*'Inputs'!$B$10</x:f>
        <x:v>12000000</x:v>
      </x:c>
      <x:c r="O10" s="60" t="n">
        <x:f>O8*'Inputs'!$B$10</x:f>
        <x:v>12000000</x:v>
      </x:c>
      <x:c r="P10" s="60" t="n">
        <x:f>P8*'Inputs'!$B$10</x:f>
        <x:v>12000000</x:v>
      </x:c>
      <x:c r="Q10" s="60" t="n">
        <x:f>Q8*'Inputs'!$B$10</x:f>
        <x:v>12000000</x:v>
      </x:c>
      <x:c r="R10" s="60" t="n">
        <x:f>R8*'Inputs'!$B$10</x:f>
        <x:v>12000000</x:v>
      </x:c>
      <x:c r="S10" s="60" t="n">
        <x:f>S8*'Inputs'!$B$10</x:f>
        <x:v>12000000</x:v>
      </x:c>
      <x:c r="T10" s="60" t="n">
        <x:f>T8*'Inputs'!$B$10</x:f>
        <x:v>12000000</x:v>
      </x:c>
      <x:c r="U10" s="60" t="n">
        <x:f>U8*'Inputs'!$B$10</x:f>
        <x:v>12000000</x:v>
      </x:c>
      <x:c r="V10" s="60" t="n">
        <x:f>V8*'Inputs'!$B$10</x:f>
        <x:v>12000000</x:v>
      </x:c>
      <x:c r="X10" s="14" t="n">
        <x:v>5</x:v>
      </x:c>
      <x:c r="Y10" s="66" t="n">
        <x:f>G6</x:f>
        <x:v>1209.970130553847</x:v>
      </x:c>
      <x:c r="Z10" s="66" t="n">
        <x:f>G7</x:f>
        <x:v>1200</x:v>
      </x:c>
    </x:row>
    <x:row r="11" ht="21" customHeight="1">
      <x:c r="A11" s="13" t="str">
        <x:v>Operating cost</x:v>
      </x:c>
      <x:c r="B11" s="60" t="n">
        <x:v>0</x:v>
      </x:c>
      <x:c r="C11" s="60" t="n">
        <x:f>-C7*'Inputs'!$B$11</x:f>
        <x:v>-2400000</x:v>
      </x:c>
      <x:c r="D11" s="60" t="n">
        <x:f>-D7*'Inputs'!$B$11</x:f>
        <x:v>-2400000</x:v>
      </x:c>
      <x:c r="E11" s="60" t="n">
        <x:f>-E7*'Inputs'!$B$11</x:f>
        <x:v>-2400000</x:v>
      </x:c>
      <x:c r="F11" s="60" t="n">
        <x:f>-F7*'Inputs'!$B$11</x:f>
        <x:v>-2400000</x:v>
      </x:c>
      <x:c r="G11" s="60" t="n">
        <x:f>-G7*'Inputs'!$B$11</x:f>
        <x:v>-2400000</x:v>
      </x:c>
      <x:c r="H11" s="60" t="n">
        <x:f>-H7*'Inputs'!$B$11</x:f>
        <x:v>-2400000</x:v>
      </x:c>
      <x:c r="I11" s="60" t="n">
        <x:f>-I7*'Inputs'!$B$11</x:f>
        <x:v>-2400000</x:v>
      </x:c>
      <x:c r="J11" s="60" t="n">
        <x:f>-J7*'Inputs'!$B$11</x:f>
        <x:v>-2400000</x:v>
      </x:c>
      <x:c r="K11" s="60" t="n">
        <x:f>-K7*'Inputs'!$B$11</x:f>
        <x:v>-2400000</x:v>
      </x:c>
      <x:c r="L11" s="60" t="n">
        <x:f>-L7*'Inputs'!$B$11</x:f>
        <x:v>-2400000</x:v>
      </x:c>
      <x:c r="M11" s="60" t="n">
        <x:f>-M7*'Inputs'!$B$11</x:f>
        <x:v>-2400000</x:v>
      </x:c>
      <x:c r="N11" s="60" t="n">
        <x:f>-N7*'Inputs'!$B$11</x:f>
        <x:v>-2400000</x:v>
      </x:c>
      <x:c r="O11" s="60" t="n">
        <x:f>-O7*'Inputs'!$B$11</x:f>
        <x:v>-2400000</x:v>
      </x:c>
      <x:c r="P11" s="60" t="n">
        <x:f>-P7*'Inputs'!$B$11</x:f>
        <x:v>-2400000</x:v>
      </x:c>
      <x:c r="Q11" s="60" t="n">
        <x:f>-Q7*'Inputs'!$B$11</x:f>
        <x:v>-2400000</x:v>
      </x:c>
      <x:c r="R11" s="60" t="n">
        <x:f>-R7*'Inputs'!$B$11</x:f>
        <x:v>-2400000</x:v>
      </x:c>
      <x:c r="S11" s="60" t="n">
        <x:f>-S7*'Inputs'!$B$11</x:f>
        <x:v>-2400000</x:v>
      </x:c>
      <x:c r="T11" s="60" t="n">
        <x:f>-T7*'Inputs'!$B$11</x:f>
        <x:v>-2400000</x:v>
      </x:c>
      <x:c r="U11" s="60" t="n">
        <x:f>-U7*'Inputs'!$B$11</x:f>
        <x:v>-2400000</x:v>
      </x:c>
      <x:c r="V11" s="60" t="n">
        <x:f>-V7*'Inputs'!$B$11</x:f>
        <x:v>-2400000</x:v>
      </x:c>
      <x:c r="X11" s="14" t="n">
        <x:v>6</x:v>
      </x:c>
      <x:c r="Y11" s="66" t="n">
        <x:f>H6</x:f>
        <x:v>1287.0626438563547</x:v>
      </x:c>
      <x:c r="Z11" s="66" t="n">
        <x:f>H7</x:f>
        <x:v>1200</x:v>
      </x:c>
    </x:row>
    <x:row r="12" ht="21" customHeight="1">
      <x:c r="A12" s="13" t="str">
        <x:v>Fixed land cost</x:v>
      </x:c>
      <x:c r="B12" s="60" t="n">
        <x:v>0</x:v>
      </x:c>
      <x:c r="C12" s="60" t="n">
        <x:f>-'Inputs'!$B$12</x:f>
        <x:v>-3600000</x:v>
      </x:c>
      <x:c r="D12" s="60" t="n">
        <x:f>-'Inputs'!$B$12</x:f>
        <x:v>-3600000</x:v>
      </x:c>
      <x:c r="E12" s="60" t="n">
        <x:f>-'Inputs'!$B$12</x:f>
        <x:v>-3600000</x:v>
      </x:c>
      <x:c r="F12" s="60" t="n">
        <x:f>-'Inputs'!$B$12</x:f>
        <x:v>-3600000</x:v>
      </x:c>
      <x:c r="G12" s="60" t="n">
        <x:f>-'Inputs'!$B$12</x:f>
        <x:v>-3600000</x:v>
      </x:c>
      <x:c r="H12" s="60" t="n">
        <x:f>-'Inputs'!$B$12</x:f>
        <x:v>-3600000</x:v>
      </x:c>
      <x:c r="I12" s="60" t="n">
        <x:f>-'Inputs'!$B$12</x:f>
        <x:v>-3600000</x:v>
      </x:c>
      <x:c r="J12" s="60" t="n">
        <x:f>-'Inputs'!$B$12</x:f>
        <x:v>-3600000</x:v>
      </x:c>
      <x:c r="K12" s="60" t="n">
        <x:f>-'Inputs'!$B$12</x:f>
        <x:v>-3600000</x:v>
      </x:c>
      <x:c r="L12" s="60" t="n">
        <x:f>-'Inputs'!$B$12</x:f>
        <x:v>-3600000</x:v>
      </x:c>
      <x:c r="M12" s="60" t="n">
        <x:f>-'Inputs'!$B$12</x:f>
        <x:v>-3600000</x:v>
      </x:c>
      <x:c r="N12" s="60" t="n">
        <x:f>-'Inputs'!$B$12</x:f>
        <x:v>-3600000</x:v>
      </x:c>
      <x:c r="O12" s="60" t="n">
        <x:f>-'Inputs'!$B$12</x:f>
        <x:v>-3600000</x:v>
      </x:c>
      <x:c r="P12" s="60" t="n">
        <x:f>-'Inputs'!$B$12</x:f>
        <x:v>-3600000</x:v>
      </x:c>
      <x:c r="Q12" s="60" t="n">
        <x:f>-'Inputs'!$B$12</x:f>
        <x:v>-3600000</x:v>
      </x:c>
      <x:c r="R12" s="60" t="n">
        <x:f>-'Inputs'!$B$12</x:f>
        <x:v>-3600000</x:v>
      </x:c>
      <x:c r="S12" s="60" t="n">
        <x:f>-'Inputs'!$B$12</x:f>
        <x:v>-3600000</x:v>
      </x:c>
      <x:c r="T12" s="60" t="n">
        <x:f>-'Inputs'!$B$12</x:f>
        <x:v>-3600000</x:v>
      </x:c>
      <x:c r="U12" s="60" t="n">
        <x:f>-'Inputs'!$B$12</x:f>
        <x:v>-3600000</x:v>
      </x:c>
      <x:c r="V12" s="60" t="n">
        <x:f>-'Inputs'!$B$12</x:f>
        <x:v>-3600000</x:v>
      </x:c>
      <x:c r="X12" s="14" t="n">
        <x:v>7</x:v>
      </x:c>
      <x:c r="Y12" s="66" t="n">
        <x:f>I6</x:f>
        <x:v>1353.14973700795</x:v>
      </x:c>
      <x:c r="Z12" s="66" t="n">
        <x:f>I7</x:f>
        <x:v>1200</x:v>
      </x:c>
    </x:row>
    <x:row r="13" ht="21" customHeight="1">
      <x:c r="A13" s="13" t="str">
        <x:v>Construction cost</x:v>
      </x:c>
      <x:c r="B13" s="60" t="n">
        <x:f>-SUMIF('Inputs'!$H$6:$H$14,"&lt;="&amp;'Inputs'!$B$17,'Inputs'!$I$6:$I$14)</x:f>
        <x:v>-22736320</x:v>
      </x:c>
      <x:c r="C13" s="60" t="n">
        <x:v>0</x:v>
      </x:c>
      <x:c r="D13" s="60" t="n">
        <x:v>0</x:v>
      </x:c>
      <x:c r="E13" s="60" t="n">
        <x:v>0</x:v>
      </x:c>
      <x:c r="F13" s="60" t="n">
        <x:v>0</x:v>
      </x:c>
      <x:c r="G13" s="60" t="n">
        <x:v>0</x:v>
      </x:c>
      <x:c r="H13" s="60" t="n">
        <x:v>0</x:v>
      </x:c>
      <x:c r="I13" s="60" t="n">
        <x:v>0</x:v>
      </x:c>
      <x:c r="J13" s="60" t="n">
        <x:v>0</x:v>
      </x:c>
      <x:c r="K13" s="60" t="n">
        <x:v>0</x:v>
      </x:c>
      <x:c r="L13" s="60" t="n">
        <x:v>0</x:v>
      </x:c>
      <x:c r="M13" s="60" t="n">
        <x:v>0</x:v>
      </x:c>
      <x:c r="N13" s="60" t="n">
        <x:v>0</x:v>
      </x:c>
      <x:c r="O13" s="60" t="n">
        <x:v>0</x:v>
      </x:c>
      <x:c r="P13" s="60" t="n">
        <x:v>0</x:v>
      </x:c>
      <x:c r="Q13" s="60" t="n">
        <x:v>0</x:v>
      </x:c>
      <x:c r="R13" s="60" t="n">
        <x:v>0</x:v>
      </x:c>
      <x:c r="S13" s="60" t="n">
        <x:v>0</x:v>
      </x:c>
      <x:c r="T13" s="60" t="n">
        <x:v>0</x:v>
      </x:c>
      <x:c r="U13" s="60" t="n">
        <x:v>0</x:v>
      </x:c>
      <x:c r="V13" s="60" t="n">
        <x:v>0</x:v>
      </x:c>
      <x:c r="X13" s="14" t="n">
        <x:v>8</x:v>
      </x:c>
      <x:c r="Y13" s="66" t="n">
        <x:f>J6</x:f>
        <x:v>1409.8024999564059</x:v>
      </x:c>
      <x:c r="Z13" s="66" t="n">
        <x:f>J7</x:f>
        <x:v>1200</x:v>
      </x:c>
    </x:row>
    <x:row r="14" ht="21" customHeight="1">
      <x:c r="A14" s="13" t="str"/>
      <x:c r="B14" s="60"/>
      <x:c r="C14" s="60"/>
      <x:c r="D14" s="60"/>
      <x:c r="E14" s="60"/>
      <x:c r="F14" s="60"/>
      <x:c r="G14" s="60"/>
      <x:c r="H14" s="60"/>
      <x:c r="I14" s="60"/>
      <x:c r="J14" s="60"/>
      <x:c r="K14" s="60"/>
      <x:c r="L14" s="60"/>
      <x:c r="M14" s="60"/>
      <x:c r="N14" s="60"/>
      <x:c r="O14" s="60"/>
      <x:c r="P14" s="60"/>
      <x:c r="Q14" s="60"/>
      <x:c r="R14" s="60"/>
      <x:c r="S14" s="60"/>
      <x:c r="T14" s="60"/>
      <x:c r="U14" s="60"/>
      <x:c r="V14" s="60"/>
      <x:c r="X14" s="14" t="n">
        <x:v>9</x:v>
      </x:c>
      <x:c r="Y14" s="66" t="n">
        <x:f>K6</x:f>
        <x:v>1458.3677401059708</x:v>
      </x:c>
      <x:c r="Z14" s="66" t="n">
        <x:f>K7</x:f>
        <x:v>1200</x:v>
      </x:c>
    </x:row>
    <x:row r="15" ht="21" customHeight="1">
      <x:c r="A15" s="13" t="str">
        <x:v>Net cash flow</x:v>
      </x:c>
      <x:c r="B15" s="60" t="n">
        <x:f>SUM(B10:B13)</x:f>
        <x:v>-22736320</x:v>
      </x:c>
      <x:c r="C15" s="60" t="n">
        <x:f>SUM(C10:C13)</x:f>
        <x:v>1500000</x:v>
      </x:c>
      <x:c r="D15" s="60" t="n">
        <x:f>SUM(D10:D13)</x:f>
        <x:v>2927560.171469271</x:v>
      </x:c>
      <x:c r="E15" s="60" t="n">
        <x:f>SUM(E10:E13)</x:f>
        <x:v>4151327.538622007</x:v>
      </x:c>
      <x:c r="F15" s="60" t="n">
        <x:f>SUM(F10:F13)</x:f>
        <x:v>5200394.750525633</x:v>
      </x:c>
      <x:c r="G15" s="60" t="n">
        <x:f>SUM(G10:G13)</x:f>
        <x:v>6000000</x:v>
      </x:c>
      <x:c r="H15" s="60" t="n">
        <x:f>SUM(H10:H13)</x:f>
        <x:v>6000000</x:v>
      </x:c>
      <x:c r="I15" s="60" t="n">
        <x:f>SUM(I10:I13)</x:f>
        <x:v>6000000</x:v>
      </x:c>
      <x:c r="J15" s="60" t="n">
        <x:f>SUM(J10:J13)</x:f>
        <x:v>6000000</x:v>
      </x:c>
      <x:c r="K15" s="60" t="n">
        <x:f>SUM(K10:K13)</x:f>
        <x:v>6000000</x:v>
      </x:c>
      <x:c r="L15" s="60" t="n">
        <x:f>SUM(L10:L13)</x:f>
        <x:v>6000000</x:v>
      </x:c>
      <x:c r="M15" s="60" t="n">
        <x:f>SUM(M10:M13)</x:f>
        <x:v>6000000</x:v>
      </x:c>
      <x:c r="N15" s="60" t="n">
        <x:f>SUM(N10:N13)</x:f>
        <x:v>6000000</x:v>
      </x:c>
      <x:c r="O15" s="60" t="n">
        <x:f>SUM(O10:O13)</x:f>
        <x:v>6000000</x:v>
      </x:c>
      <x:c r="P15" s="60" t="n">
        <x:f>SUM(P10:P13)</x:f>
        <x:v>6000000</x:v>
      </x:c>
      <x:c r="Q15" s="60" t="n">
        <x:f>SUM(Q10:Q13)</x:f>
        <x:v>6000000</x:v>
      </x:c>
      <x:c r="R15" s="60" t="n">
        <x:f>SUM(R10:R13)</x:f>
        <x:v>6000000</x:v>
      </x:c>
      <x:c r="S15" s="60" t="n">
        <x:f>SUM(S10:S13)</x:f>
        <x:v>6000000</x:v>
      </x:c>
      <x:c r="T15" s="60" t="n">
        <x:f>SUM(T10:T13)</x:f>
        <x:v>6000000</x:v>
      </x:c>
      <x:c r="U15" s="60" t="n">
        <x:f>SUM(U10:U13)</x:f>
        <x:v>6000000</x:v>
      </x:c>
      <x:c r="V15" s="60" t="n">
        <x:f>SUM(V10:V13)</x:f>
        <x:v>6000000</x:v>
      </x:c>
      <x:c r="X15" s="14" t="n">
        <x:v>10</x:v>
      </x:c>
      <x:c r="Y15" s="66" t="n">
        <x:f>L6</x:f>
        <x:v>1500</x:v>
      </x:c>
      <x:c r="Z15" s="66" t="n">
        <x:f>L7</x:f>
        <x:v>1200</x:v>
      </x:c>
    </x:row>
    <x:row r="16" ht="21" customHeight="1">
      <x:c r="A16" s="13" t="str">
        <x:v>Discount factor</x:v>
      </x:c>
      <x:c r="B16" s="69" t="n">
        <x:v>1</x:v>
      </x:c>
      <x:c r="C16" s="69" t="n">
        <x:f>1/(1+'Inputs'!$B$22)^C$4</x:f>
        <x:v>0.8928571428571428</x:v>
      </x:c>
      <x:c r="D16" s="69" t="n">
        <x:f>1/(1+'Inputs'!$B$22)^D$4</x:f>
        <x:v>0.7971938775510203</x:v>
      </x:c>
      <x:c r="E16" s="69" t="n">
        <x:f>1/(1+'Inputs'!$B$22)^E$4</x:f>
        <x:v>0.7117802478134109</x:v>
      </x:c>
      <x:c r="F16" s="69" t="n">
        <x:f>1/(1+'Inputs'!$B$22)^F$4</x:f>
        <x:v>0.6355180784048311</x:v>
      </x:c>
      <x:c r="G16" s="69" t="n">
        <x:f>1/(1+'Inputs'!$B$22)^G$4</x:f>
        <x:v>0.5674268557185992</x:v>
      </x:c>
      <x:c r="H16" s="69" t="n">
        <x:f>1/(1+'Inputs'!$B$22)^H$4</x:f>
        <x:v>0.5066311211773206</x:v>
      </x:c>
      <x:c r="I16" s="69" t="n">
        <x:f>1/(1+'Inputs'!$B$22)^I$4</x:f>
        <x:v>0.4523492153368934</x:v>
      </x:c>
      <x:c r="J16" s="69" t="n">
        <x:f>1/(1+'Inputs'!$B$22)^J$4</x:f>
        <x:v>0.40388322797936904</x:v>
      </x:c>
      <x:c r="K16" s="69" t="n">
        <x:f>1/(1+'Inputs'!$B$22)^K$4</x:f>
        <x:v>0.36061002498157946</x:v>
      </x:c>
      <x:c r="L16" s="69" t="n">
        <x:f>1/(1+'Inputs'!$B$22)^L$4</x:f>
        <x:v>0.32197323659069593</x:v>
      </x:c>
      <x:c r="M16" s="69" t="n">
        <x:f>1/(1+'Inputs'!$B$22)^M$4</x:f>
        <x:v>0.2874761040988356</x:v>
      </x:c>
      <x:c r="N16" s="69" t="n">
        <x:f>1/(1+'Inputs'!$B$22)^N$4</x:f>
        <x:v>0.25667509294538887</x:v>
      </x:c>
      <x:c r="O16" s="69" t="n">
        <x:f>1/(1+'Inputs'!$B$22)^O$4</x:f>
        <x:v>0.2291741901298115</x:v>
      </x:c>
      <x:c r="P16" s="69" t="n">
        <x:f>1/(1+'Inputs'!$B$22)^P$4</x:f>
        <x:v>0.20461981261590312</x:v>
      </x:c>
      <x:c r="Q16" s="69" t="n">
        <x:f>1/(1+'Inputs'!$B$22)^Q$4</x:f>
        <x:v>0.1826962612641992</x:v>
      </x:c>
      <x:c r="R16" s="69" t="n">
        <x:f>1/(1+'Inputs'!$B$22)^R$4</x:f>
        <x:v>0.16312166184303498</x:v>
      </x:c>
      <x:c r="S16" s="69" t="n">
        <x:f>1/(1+'Inputs'!$B$22)^S$4</x:f>
        <x:v>0.14564434093128123</x:v>
      </x:c>
      <x:c r="T16" s="69" t="n">
        <x:f>1/(1+'Inputs'!$B$22)^T$4</x:f>
        <x:v>0.13003959011721536</x:v>
      </x:c>
      <x:c r="U16" s="69" t="n">
        <x:f>1/(1+'Inputs'!$B$22)^U$4</x:f>
        <x:v>0.11610677689037084</x:v>
      </x:c>
      <x:c r="V16" s="69" t="n">
        <x:f>1/(1+'Inputs'!$B$22)^V$4</x:f>
        <x:v>0.10366676508068824</x:v>
      </x:c>
      <x:c r="X16" s="14" t="n">
        <x:v>11</x:v>
      </x:c>
      <x:c r="Y16" s="66" t="n">
        <x:f>M6</x:f>
        <x:v>1535.6890042867317</x:v>
      </x:c>
      <x:c r="Z16" s="66" t="n">
        <x:f>M7</x:f>
        <x:v>1200</x:v>
      </x:c>
    </x:row>
    <x:row r="17" ht="21" customHeight="1">
      <x:c r="A17" s="13" t="str">
        <x:v>Present value</x:v>
      </x:c>
      <x:c r="B17" s="60" t="n">
        <x:f>B15*B16</x:f>
        <x:v>-22736320</x:v>
      </x:c>
      <x:c r="C17" s="60" t="n">
        <x:f>C15*C16</x:f>
        <x:v>1339285.714285714</x:v>
      </x:c>
      <x:c r="D17" s="60" t="n">
        <x:f>D15*D16</x:f>
        <x:v>2333833.0448575183</x:v>
      </x:c>
      <x:c r="E17" s="60" t="n">
        <x:f>E15*E16</x:f>
        <x:v>2954832.944195009</x:v>
      </x:c>
      <x:c r="F17" s="60" t="n">
        <x:f>F15*F16</x:f>
        <x:v>3304944.8788006213</x:v>
      </x:c>
      <x:c r="G17" s="60" t="n">
        <x:f>G15*G16</x:f>
        <x:v>3404561.134311595</x:v>
      </x:c>
      <x:c r="H17" s="60" t="n">
        <x:f>H15*H16</x:f>
        <x:v>3039786.7270639236</x:v>
      </x:c>
      <x:c r="I17" s="60" t="n">
        <x:f>I15*I16</x:f>
        <x:v>2714095.2920213602</x:v>
      </x:c>
      <x:c r="J17" s="60" t="n">
        <x:f>J15*J16</x:f>
        <x:v>2423299.3678762144</x:v>
      </x:c>
      <x:c r="K17" s="60" t="n">
        <x:f>K15*K16</x:f>
        <x:v>2163660.1498894766</x:v>
      </x:c>
      <x:c r="L17" s="60" t="n">
        <x:f>L15*L16</x:f>
        <x:v>1931839.4195441755</x:v>
      </x:c>
      <x:c r="M17" s="60" t="n">
        <x:f>M15*M16</x:f>
        <x:v>1724856.6245930137</x:v>
      </x:c>
      <x:c r="N17" s="60" t="n">
        <x:f>N15*N16</x:f>
        <x:v>1540050.5576723332</x:v>
      </x:c>
      <x:c r="O17" s="60" t="n">
        <x:f>O15*O16</x:f>
        <x:v>1375045.140778869</x:v>
      </x:c>
      <x:c r="P17" s="60" t="n">
        <x:f>P15*P16</x:f>
        <x:v>1227718.8756954188</x:v>
      </x:c>
      <x:c r="Q17" s="60" t="n">
        <x:f>Q15*Q16</x:f>
        <x:v>1096177.5675851952</x:v>
      </x:c>
      <x:c r="R17" s="60" t="n">
        <x:f>R15*R16</x:f>
        <x:v>978729.9710582099</x:v>
      </x:c>
      <x:c r="S17" s="60" t="n">
        <x:f>S15*S16</x:f>
        <x:v>873866.0455876874</x:v>
      </x:c>
      <x:c r="T17" s="60" t="n">
        <x:f>T15*T16</x:f>
        <x:v>780237.5407032921</x:v>
      </x:c>
      <x:c r="U17" s="60" t="n">
        <x:f>U15*U16</x:f>
        <x:v>696640.661342225</x:v>
      </x:c>
      <x:c r="V17" s="60" t="n">
        <x:f>V15*V16</x:f>
        <x:v>622000.5904841295</x:v>
      </x:c>
      <x:c r="X17" s="14" t="n">
        <x:v>12</x:v>
      </x:c>
      <x:c r="Y17" s="66" t="n">
        <x:f>N6</x:f>
        <x:v>1566.2831884655502</x:v>
      </x:c>
      <x:c r="Z17" s="66" t="n">
        <x:f>N7</x:f>
        <x:v>1200</x:v>
      </x:c>
    </x:row>
    <x:row r="18" ht="21" customHeight="1">
      <x:c r="X18" s="14" t="n">
        <x:v>13</x:v>
      </x:c>
      <x:c r="Y18" s="66" t="n">
        <x:f>O6</x:f>
        <x:v>1592.509868763141</x:v>
      </x:c>
      <x:c r="Z18" s="66" t="n">
        <x:f>O7</x:f>
        <x:v>1200</x:v>
      </x:c>
    </x:row>
    <x:row r="19" ht="21" customHeight="1">
      <x:c r="A19" s="8" t="str">
        <x:v>Key result</x:v>
      </x:c>
      <x:c r="B19" s="8" t="str">
        <x:v>Key result</x:v>
      </x:c>
      <x:c r="C19" s="8" t="str">
        <x:v>Key result</x:v>
      </x:c>
      <x:c r="D19" s="8" t="str">
        <x:v>Key result</x:v>
      </x:c>
      <x:c r="F19" s="32" t="str">
        <x:v>Baseline demand is calibrated to the MIT case assumptions. Capacity is built at Year 0; operating cash flows occur in Years 1–20. Revenue is limited by the smaller of demand and capacity.</x:v>
      </x:c>
      <x:c r="G19" s="33" t="str">
        <x:v>Baseline demand is calibrated to the MIT case assumptions. Capacity is built at Year 0; operating cash flows occur in Years 1–20. Revenue is limited by the smaller of demand and capacity.</x:v>
      </x:c>
      <x:c r="H19" s="33" t="str">
        <x:v>Baseline demand is calibrated to the MIT case assumptions. Capacity is built at Year 0; operating cash flows occur in Years 1–20. Revenue is limited by the smaller of demand and capacity.</x:v>
      </x:c>
      <x:c r="I19" s="33" t="str">
        <x:v>Baseline demand is calibrated to the MIT case assumptions. Capacity is built at Year 0; operating cash flows occur in Years 1–20. Revenue is limited by the smaller of demand and capacity.</x:v>
      </x:c>
      <x:c r="J19" s="33" t="str">
        <x:v>Baseline demand is calibrated to the MIT case assumptions. Capacity is built at Year 0; operating cash flows occur in Years 1–20. Revenue is limited by the smaller of demand and capacity.</x:v>
      </x:c>
      <x:c r="K19" s="33" t="str">
        <x:v>Baseline demand is calibrated to the MIT case assumptions. Capacity is built at Year 0; operating cash flows occur in Years 1–20. Revenue is limited by the smaller of demand and capacity.</x:v>
      </x:c>
      <x:c r="L19" s="33" t="str">
        <x:v>Baseline demand is calibrated to the MIT case assumptions. Capacity is built at Year 0; operating cash flows occur in Years 1–20. Revenue is limited by the smaller of demand and capacity.</x:v>
      </x:c>
      <x:c r="M19" s="33" t="str">
        <x:v>Baseline demand is calibrated to the MIT case assumptions. Capacity is built at Year 0; operating cash flows occur in Years 1–20. Revenue is limited by the smaller of demand and capacity.</x:v>
      </x:c>
      <x:c r="N19" s="33" t="str">
        <x:v>Baseline demand is calibrated to the MIT case assumptions. Capacity is built at Year 0; operating cash flows occur in Years 1–20. Revenue is limited by the smaller of demand and capacity.</x:v>
      </x:c>
      <x:c r="O19" s="33" t="str">
        <x:v>Baseline demand is calibrated to the MIT case assumptions. Capacity is built at Year 0; operating cash flows occur in Years 1–20. Revenue is limited by the smaller of demand and capacity.</x:v>
      </x:c>
      <x:c r="P19" s="33" t="str">
        <x:v>Baseline demand is calibrated to the MIT case assumptions. Capacity is built at Year 0; operating cash flows occur in Years 1–20. Revenue is limited by the smaller of demand and capacity.</x:v>
      </x:c>
      <x:c r="Q19" s="33" t="str">
        <x:v>Baseline demand is calibrated to the MIT case assumptions. Capacity is built at Year 0; operating cash flows occur in Years 1–20. Revenue is limited by the smaller of demand and capacity.</x:v>
      </x:c>
      <x:c r="R19" s="33" t="str">
        <x:v>Baseline demand is calibrated to the MIT case assumptions. Capacity is built at Year 0; operating cash flows occur in Years 1–20. Revenue is limited by the smaller of demand and capacity.</x:v>
      </x:c>
      <x:c r="S19" s="33" t="str">
        <x:v>Baseline demand is calibrated to the MIT case assumptions. Capacity is built at Year 0; operating cash flows occur in Years 1–20. Revenue is limited by the smaller of demand and capacity.</x:v>
      </x:c>
      <x:c r="T19" s="33" t="str">
        <x:v>Baseline demand is calibrated to the MIT case assumptions. Capacity is built at Year 0; operating cash flows occur in Years 1–20. Revenue is limited by the smaller of demand and capacity.</x:v>
      </x:c>
      <x:c r="U19" s="33" t="str">
        <x:v>Baseline demand is calibrated to the MIT case assumptions. Capacity is built at Year 0; operating cash flows occur in Years 1–20. Revenue is limited by the smaller of demand and capacity.</x:v>
      </x:c>
      <x:c r="V19" s="34" t="str">
        <x:v>Baseline demand is calibrated to the MIT case assumptions. Capacity is built at Year 0; operating cash flows occur in Years 1–20. Revenue is limited by the smaller of demand and capacity.</x:v>
      </x:c>
      <x:c r="X19" s="14" t="n">
        <x:v>14</x:v>
      </x:c>
      <x:c r="Y19" s="66" t="n">
        <x:f>P6</x:f>
        <x:v>1614.9925326384619</x:v>
      </x:c>
      <x:c r="Z19" s="66" t="n">
        <x:f>P7</x:f>
        <x:v>1200</x:v>
      </x:c>
    </x:row>
    <x:row r="20" ht="21" customHeight="1">
      <x:c r="A20" t="str">
        <x:v>Net present value</x:v>
      </x:c>
      <x:c r="B20" s="63" t="n">
        <x:f>SUM(B17:V17)</x:f>
        <x:v>13789142.24834598</x:v>
      </x:c>
      <x:c r="F20" s="35" t="str">
        <x:v>Baseline demand is calibrated to the MIT case assumptions. Capacity is built at Year 0; operating cash flows occur in Years 1–20. Revenue is limited by the smaller of demand and capacity.</x:v>
      </x:c>
      <x:c r="G20" s="31" t="str">
        <x:v>Baseline demand is calibrated to the MIT case assumptions. Capacity is built at Year 0; operating cash flows occur in Years 1–20. Revenue is limited by the smaller of demand and capacity.</x:v>
      </x:c>
      <x:c r="H20" s="31" t="str">
        <x:v>Baseline demand is calibrated to the MIT case assumptions. Capacity is built at Year 0; operating cash flows occur in Years 1–20. Revenue is limited by the smaller of demand and capacity.</x:v>
      </x:c>
      <x:c r="I20" s="31" t="str">
        <x:v>Baseline demand is calibrated to the MIT case assumptions. Capacity is built at Year 0; operating cash flows occur in Years 1–20. Revenue is limited by the smaller of demand and capacity.</x:v>
      </x:c>
      <x:c r="J20" s="31" t="str">
        <x:v>Baseline demand is calibrated to the MIT case assumptions. Capacity is built at Year 0; operating cash flows occur in Years 1–20. Revenue is limited by the smaller of demand and capacity.</x:v>
      </x:c>
      <x:c r="K20" s="31" t="str">
        <x:v>Baseline demand is calibrated to the MIT case assumptions. Capacity is built at Year 0; operating cash flows occur in Years 1–20. Revenue is limited by the smaller of demand and capacity.</x:v>
      </x:c>
      <x:c r="L20" s="31" t="str">
        <x:v>Baseline demand is calibrated to the MIT case assumptions. Capacity is built at Year 0; operating cash flows occur in Years 1–20. Revenue is limited by the smaller of demand and capacity.</x:v>
      </x:c>
      <x:c r="M20" s="31" t="str">
        <x:v>Baseline demand is calibrated to the MIT case assumptions. Capacity is built at Year 0; operating cash flows occur in Years 1–20. Revenue is limited by the smaller of demand and capacity.</x:v>
      </x:c>
      <x:c r="N20" s="31" t="str">
        <x:v>Baseline demand is calibrated to the MIT case assumptions. Capacity is built at Year 0; operating cash flows occur in Years 1–20. Revenue is limited by the smaller of demand and capacity.</x:v>
      </x:c>
      <x:c r="O20" s="31" t="str">
        <x:v>Baseline demand is calibrated to the MIT case assumptions. Capacity is built at Year 0; operating cash flows occur in Years 1–20. Revenue is limited by the smaller of demand and capacity.</x:v>
      </x:c>
      <x:c r="P20" s="31" t="str">
        <x:v>Baseline demand is calibrated to the MIT case assumptions. Capacity is built at Year 0; operating cash flows occur in Years 1–20. Revenue is limited by the smaller of demand and capacity.</x:v>
      </x:c>
      <x:c r="Q20" s="31" t="str">
        <x:v>Baseline demand is calibrated to the MIT case assumptions. Capacity is built at Year 0; operating cash flows occur in Years 1–20. Revenue is limited by the smaller of demand and capacity.</x:v>
      </x:c>
      <x:c r="R20" s="31" t="str">
        <x:v>Baseline demand is calibrated to the MIT case assumptions. Capacity is built at Year 0; operating cash flows occur in Years 1–20. Revenue is limited by the smaller of demand and capacity.</x:v>
      </x:c>
      <x:c r="S20" s="31" t="str">
        <x:v>Baseline demand is calibrated to the MIT case assumptions. Capacity is built at Year 0; operating cash flows occur in Years 1–20. Revenue is limited by the smaller of demand and capacity.</x:v>
      </x:c>
      <x:c r="T20" s="31" t="str">
        <x:v>Baseline demand is calibrated to the MIT case assumptions. Capacity is built at Year 0; operating cash flows occur in Years 1–20. Revenue is limited by the smaller of demand and capacity.</x:v>
      </x:c>
      <x:c r="U20" s="31" t="str">
        <x:v>Baseline demand is calibrated to the MIT case assumptions. Capacity is built at Year 0; operating cash flows occur in Years 1–20. Revenue is limited by the smaller of demand and capacity.</x:v>
      </x:c>
      <x:c r="V20" s="36" t="str">
        <x:v>Baseline demand is calibrated to the MIT case assumptions. Capacity is built at Year 0; operating cash flows occur in Years 1–20. Revenue is limited by the smaller of demand and capacity.</x:v>
      </x:c>
      <x:c r="X20" s="14" t="n">
        <x:v>15</x:v>
      </x:c>
      <x:c r="Y20" s="66" t="n">
        <x:f>Q6</x:f>
        <x:v>1634.2656609640887</x:v>
      </x:c>
      <x:c r="Z20" s="66" t="n">
        <x:f>Q7</x:f>
        <x:v>1200</x:v>
      </x:c>
    </x:row>
    <x:row r="21" ht="21" customHeight="1">
      <x:c r="F21" s="37" t="str">
        <x:v>Baseline demand is calibrated to the MIT case assumptions. Capacity is built at Year 0; operating cash flows occur in Years 1–20. Revenue is limited by the smaller of demand and capacity.</x:v>
      </x:c>
      <x:c r="G21" s="38" t="str">
        <x:v>Baseline demand is calibrated to the MIT case assumptions. Capacity is built at Year 0; operating cash flows occur in Years 1–20. Revenue is limited by the smaller of demand and capacity.</x:v>
      </x:c>
      <x:c r="H21" s="38" t="str">
        <x:v>Baseline demand is calibrated to the MIT case assumptions. Capacity is built at Year 0; operating cash flows occur in Years 1–20. Revenue is limited by the smaller of demand and capacity.</x:v>
      </x:c>
      <x:c r="I21" s="38" t="str">
        <x:v>Baseline demand is calibrated to the MIT case assumptions. Capacity is built at Year 0; operating cash flows occur in Years 1–20. Revenue is limited by the smaller of demand and capacity.</x:v>
      </x:c>
      <x:c r="J21" s="38" t="str">
        <x:v>Baseline demand is calibrated to the MIT case assumptions. Capacity is built at Year 0; operating cash flows occur in Years 1–20. Revenue is limited by the smaller of demand and capacity.</x:v>
      </x:c>
      <x:c r="K21" s="38" t="str">
        <x:v>Baseline demand is calibrated to the MIT case assumptions. Capacity is built at Year 0; operating cash flows occur in Years 1–20. Revenue is limited by the smaller of demand and capacity.</x:v>
      </x:c>
      <x:c r="L21" s="38" t="str">
        <x:v>Baseline demand is calibrated to the MIT case assumptions. Capacity is built at Year 0; operating cash flows occur in Years 1–20. Revenue is limited by the smaller of demand and capacity.</x:v>
      </x:c>
      <x:c r="M21" s="38" t="str">
        <x:v>Baseline demand is calibrated to the MIT case assumptions. Capacity is built at Year 0; operating cash flows occur in Years 1–20. Revenue is limited by the smaller of demand and capacity.</x:v>
      </x:c>
      <x:c r="N21" s="38" t="str">
        <x:v>Baseline demand is calibrated to the MIT case assumptions. Capacity is built at Year 0; operating cash flows occur in Years 1–20. Revenue is limited by the smaller of demand and capacity.</x:v>
      </x:c>
      <x:c r="O21" s="38" t="str">
        <x:v>Baseline demand is calibrated to the MIT case assumptions. Capacity is built at Year 0; operating cash flows occur in Years 1–20. Revenue is limited by the smaller of demand and capacity.</x:v>
      </x:c>
      <x:c r="P21" s="38" t="str">
        <x:v>Baseline demand is calibrated to the MIT case assumptions. Capacity is built at Year 0; operating cash flows occur in Years 1–20. Revenue is limited by the smaller of demand and capacity.</x:v>
      </x:c>
      <x:c r="Q21" s="38" t="str">
        <x:v>Baseline demand is calibrated to the MIT case assumptions. Capacity is built at Year 0; operating cash flows occur in Years 1–20. Revenue is limited by the smaller of demand and capacity.</x:v>
      </x:c>
      <x:c r="R21" s="38" t="str">
        <x:v>Baseline demand is calibrated to the MIT case assumptions. Capacity is built at Year 0; operating cash flows occur in Years 1–20. Revenue is limited by the smaller of demand and capacity.</x:v>
      </x:c>
      <x:c r="S21" s="38" t="str">
        <x:v>Baseline demand is calibrated to the MIT case assumptions. Capacity is built at Year 0; operating cash flows occur in Years 1–20. Revenue is limited by the smaller of demand and capacity.</x:v>
      </x:c>
      <x:c r="T21" s="38" t="str">
        <x:v>Baseline demand is calibrated to the MIT case assumptions. Capacity is built at Year 0; operating cash flows occur in Years 1–20. Revenue is limited by the smaller of demand and capacity.</x:v>
      </x:c>
      <x:c r="U21" s="38" t="str">
        <x:v>Baseline demand is calibrated to the MIT case assumptions. Capacity is built at Year 0; operating cash flows occur in Years 1–20. Revenue is limited by the smaller of demand and capacity.</x:v>
      </x:c>
      <x:c r="V21" s="39" t="str">
        <x:v>Baseline demand is calibrated to the MIT case assumptions. Capacity is built at Year 0; operating cash flows occur in Years 1–20. Revenue is limited by the smaller of demand and capacity.</x:v>
      </x:c>
      <x:c r="X21" s="14" t="n">
        <x:v>16</x:v>
      </x:c>
      <x:c r="Y21" s="66" t="n">
        <x:f>R6</x:f>
        <x:v>1650.7874342519876</x:v>
      </x:c>
      <x:c r="Z21" s="66" t="n">
        <x:f>R7</x:f>
        <x:v>1200</x:v>
      </x:c>
    </x:row>
    <x:row r="22" ht="21" customHeight="1">
      <x:c r="X22" s="14" t="n">
        <x:v>17</x:v>
      </x:c>
      <x:c r="Y22" s="66" t="n">
        <x:f>S6</x:f>
        <x:v>1664.9506249891015</x:v>
      </x:c>
      <x:c r="Z22" s="66" t="n">
        <x:f>S7</x:f>
        <x:v>1200</x:v>
      </x:c>
    </x:row>
    <x:row r="23" ht="21" customHeight="1">
      <x:c r="X23" s="14" t="n">
        <x:v>18</x:v>
      </x:c>
      <x:c r="Y23" s="66" t="n">
        <x:f>T6</x:f>
        <x:v>1677.0919350264926</x:v>
      </x:c>
      <x:c r="Z23" s="66" t="n">
        <x:f>T7</x:f>
        <x:v>1200</x:v>
      </x:c>
    </x:row>
    <x:row r="24" ht="21" customHeight="1">
      <x:c r="X24" s="14" t="n">
        <x:v>19</x:v>
      </x:c>
      <x:c r="Y24" s="66" t="n">
        <x:f>U6</x:f>
        <x:v>1687.5</x:v>
      </x:c>
      <x:c r="Z24" s="66" t="n">
        <x:f>U7</x:f>
        <x:v>1200</x:v>
      </x:c>
    </x:row>
    <x:row r="25" ht="21" customHeight="1">
      <x:c r="X25" s="14" t="n">
        <x:v>20</x:v>
      </x:c>
      <x:c r="Y25" s="66" t="n">
        <x:f>V6</x:f>
        <x:v>1696.422251071683</x:v>
      </x:c>
      <x:c r="Z25" s="66" t="n">
        <x:f>V7</x:f>
        <x:v>1200</x:v>
      </x:c>
    </x:row>
    <x:row r="26" ht="21" customHeight="1"/>
    <x:row r="27" ht="21" customHeight="1"/>
    <x:row r="28" ht="21" customHeight="1"/>
    <x:row r="29" ht="21" customHeight="1"/>
    <x:row r="30" ht="21" customHeight="1"/>
  </x:sheetData>
  <x:mergeCells>
    <x:mergeCell ref="A1:V2"/>
    <x:mergeCell ref="A19:D19"/>
    <x:mergeCell ref="F19:V21"/>
  </x:mergeCells>
  <x:pageMargins left="0.7" right="0.7" top="0.75" bottom="0.75" header="0.3" footer="0.3"/>
  <x:drawing xmlns:r="http://schemas.openxmlformats.org/officeDocument/2006/relationships" r:id="R27a6d4794eed4d4c"/>
</x:worksheet>
</file>

<file path=xl/worksheets/sheet4.xml><?xml version="1.0" encoding="utf-8"?>
<x:worksheet xmlns:x="http://schemas.openxmlformats.org/spreadsheetml/2006/main">
  <x:sheetViews>
    <x:sheetView showGridLines="0" workbookViewId="0"/>
  </x:sheetViews>
  <x:sheetFormatPr defaultRowHeight="15"/>
  <x:cols>
    <x:col min="1" max="1" width="23" hidden="0" customWidth="1"/>
    <x:col min="2" max="2" width="11" hidden="0" customWidth="1"/>
    <x:col min="3" max="3" width="11" hidden="0" customWidth="1"/>
    <x:col min="4" max="4" width="25" hidden="0" customWidth="1"/>
    <x:col min="5" max="5" width="11" hidden="0" customWidth="1"/>
    <x:col min="6" max="6" width="11" hidden="0" customWidth="1"/>
    <x:col min="7" max="7" width="11" hidden="0" customWidth="1"/>
    <x:col min="8" max="8" width="11" hidden="0" customWidth="1"/>
    <x:col min="9" max="9" width="11" hidden="0" customWidth="1"/>
    <x:col min="10" max="10" width="11" hidden="0" customWidth="1"/>
    <x:col min="11" max="11" width="11" hidden="0" customWidth="1"/>
    <x:col min="12" max="12" width="11" hidden="0" customWidth="1"/>
    <x:col min="13" max="13" width="11" hidden="0" customWidth="1"/>
    <x:col min="14" max="14" width="11" hidden="0" customWidth="1"/>
    <x:col min="15" max="15" width="11" hidden="0" customWidth="1"/>
    <x:col min="16" max="16" width="11" hidden="0" customWidth="1"/>
    <x:col min="17" max="17" width="11" hidden="0" customWidth="1"/>
    <x:col min="18" max="18" width="11" hidden="0" customWidth="1"/>
    <x:col min="19" max="19" width="11" hidden="0" customWidth="1"/>
    <x:col min="20" max="20" width="11" hidden="0" customWidth="1"/>
    <x:col min="21" max="21" width="11" hidden="0" customWidth="1"/>
    <x:col min="22" max="22" width="11" hidden="0" customWidth="1"/>
  </x:cols>
  <x:sheetData>
    <x:row r="1" ht="34" customHeight="1">
      <x:c r="A1" s="3" t="str">
        <x:v>Scenario Explorer — change the three yellow multipliers</x:v>
      </x:c>
      <x:c r="B1" s="3" t="str">
        <x:v>Scenario Explorer — change the three yellow multipliers</x:v>
      </x:c>
      <x:c r="C1" s="3" t="str">
        <x:v>Scenario Explorer — change the three yellow multipliers</x:v>
      </x:c>
      <x:c r="D1" s="3" t="str">
        <x:v>Scenario Explorer — change the three yellow multipliers</x:v>
      </x:c>
      <x:c r="E1" s="3" t="str">
        <x:v>Scenario Explorer — change the three yellow multipliers</x:v>
      </x:c>
      <x:c r="F1" s="3" t="str">
        <x:v>Scenario Explorer — change the three yellow multipliers</x:v>
      </x:c>
      <x:c r="G1" s="3" t="str">
        <x:v>Scenario Explorer — change the three yellow multipliers</x:v>
      </x:c>
      <x:c r="H1" s="3" t="str">
        <x:v>Scenario Explorer — change the three yellow multipliers</x:v>
      </x:c>
      <x:c r="I1" s="3" t="str">
        <x:v>Scenario Explorer — change the three yellow multipliers</x:v>
      </x:c>
      <x:c r="J1" s="3" t="str">
        <x:v>Scenario Explorer — change the three yellow multipliers</x:v>
      </x:c>
      <x:c r="K1" s="3" t="str">
        <x:v>Scenario Explorer — change the three yellow multipliers</x:v>
      </x:c>
      <x:c r="L1" s="3" t="str">
        <x:v>Scenario Explorer — change the three yellow multipliers</x:v>
      </x:c>
      <x:c r="M1" s="3" t="str">
        <x:v>Scenario Explorer — change the three yellow multipliers</x:v>
      </x:c>
      <x:c r="N1" s="3" t="str">
        <x:v>Scenario Explorer — change the three yellow multipliers</x:v>
      </x:c>
      <x:c r="O1" s="3" t="str">
        <x:v>Scenario Explorer — change the three yellow multipliers</x:v>
      </x:c>
      <x:c r="P1" s="3" t="str">
        <x:v>Scenario Explorer — change the three yellow multipliers</x:v>
      </x:c>
      <x:c r="Q1" s="3" t="str">
        <x:v>Scenario Explorer — change the three yellow multipliers</x:v>
      </x:c>
      <x:c r="R1" s="3" t="str">
        <x:v>Scenario Explorer — change the three yellow multipliers</x:v>
      </x:c>
      <x:c r="S1" s="3" t="str">
        <x:v>Scenario Explorer — change the three yellow multipliers</x:v>
      </x:c>
      <x:c r="T1" s="3" t="str">
        <x:v>Scenario Explorer — change the three yellow multipliers</x:v>
      </x:c>
      <x:c r="U1" s="3" t="str">
        <x:v>Scenario Explorer — change the three yellow multipliers</x:v>
      </x:c>
      <x:c r="V1" s="3" t="str">
        <x:v>Scenario Explorer — change the three yellow multipliers</x:v>
      </x:c>
    </x:row>
    <x:row r="2" ht="34" customHeight="1">
      <x:c r="A2" s="3" t="str">
        <x:v>Scenario Explorer — change the three yellow multipliers</x:v>
      </x:c>
      <x:c r="B2" s="3" t="str">
        <x:v>Scenario Explorer — change the three yellow multipliers</x:v>
      </x:c>
      <x:c r="C2" s="3" t="str">
        <x:v>Scenario Explorer — change the three yellow multipliers</x:v>
      </x:c>
      <x:c r="D2" s="3" t="str">
        <x:v>Scenario Explorer — change the three yellow multipliers</x:v>
      </x:c>
      <x:c r="E2" s="3" t="str">
        <x:v>Scenario Explorer — change the three yellow multipliers</x:v>
      </x:c>
      <x:c r="F2" s="3" t="str">
        <x:v>Scenario Explorer — change the three yellow multipliers</x:v>
      </x:c>
      <x:c r="G2" s="3" t="str">
        <x:v>Scenario Explorer — change the three yellow multipliers</x:v>
      </x:c>
      <x:c r="H2" s="3" t="str">
        <x:v>Scenario Explorer — change the three yellow multipliers</x:v>
      </x:c>
      <x:c r="I2" s="3" t="str">
        <x:v>Scenario Explorer — change the three yellow multipliers</x:v>
      </x:c>
      <x:c r="J2" s="3" t="str">
        <x:v>Scenario Explorer — change the three yellow multipliers</x:v>
      </x:c>
      <x:c r="K2" s="3" t="str">
        <x:v>Scenario Explorer — change the three yellow multipliers</x:v>
      </x:c>
      <x:c r="L2" s="3" t="str">
        <x:v>Scenario Explorer — change the three yellow multipliers</x:v>
      </x:c>
      <x:c r="M2" s="3" t="str">
        <x:v>Scenario Explorer — change the three yellow multipliers</x:v>
      </x:c>
      <x:c r="N2" s="3" t="str">
        <x:v>Scenario Explorer — change the three yellow multipliers</x:v>
      </x:c>
      <x:c r="O2" s="3" t="str">
        <x:v>Scenario Explorer — change the three yellow multipliers</x:v>
      </x:c>
      <x:c r="P2" s="3" t="str">
        <x:v>Scenario Explorer — change the three yellow multipliers</x:v>
      </x:c>
      <x:c r="Q2" s="3" t="str">
        <x:v>Scenario Explorer — change the three yellow multipliers</x:v>
      </x:c>
      <x:c r="R2" s="3" t="str">
        <x:v>Scenario Explorer — change the three yellow multipliers</x:v>
      </x:c>
      <x:c r="S2" s="3" t="str">
        <x:v>Scenario Explorer — change the three yellow multipliers</x:v>
      </x:c>
      <x:c r="T2" s="3" t="str">
        <x:v>Scenario Explorer — change the three yellow multipliers</x:v>
      </x:c>
      <x:c r="U2" s="3" t="str">
        <x:v>Scenario Explorer — change the three yellow multipliers</x:v>
      </x:c>
      <x:c r="V2" s="3" t="str">
        <x:v>Scenario Explorer — change the three yellow multipliers</x:v>
      </x:c>
    </x:row>
    <x:row r="4" ht="21" customHeight="1">
      <x:c r="A4" s="46" t="str">
        <x:v>Scenario driver</x:v>
      </x:c>
      <x:c r="B4" s="46" t="str">
        <x:v>Multiplier</x:v>
      </x:c>
      <x:c r="C4" s="46" t="str">
        <x:v>Resulting amount</x:v>
      </x:c>
      <x:c r="D4" s="46" t="str">
        <x:v>Interpretation</x:v>
      </x:c>
      <x:c r="F4" s="32" t="str">
        <x:v>Try one change at a time. Examples: 0.50 = half the base assumption; 1.00 = base; 1.50 = 50% above base. These are transparent scenario controls, not random draws.</x:v>
      </x:c>
      <x:c r="G4" s="33" t="str">
        <x:v>Try one change at a time. Examples: 0.50 = half the base assumption; 1.00 = base; 1.50 = 50% above base. These are transparent scenario controls, not random draws.</x:v>
      </x:c>
      <x:c r="H4" s="33" t="str">
        <x:v>Try one change at a time. Examples: 0.50 = half the base assumption; 1.00 = base; 1.50 = 50% above base. These are transparent scenario controls, not random draws.</x:v>
      </x:c>
      <x:c r="I4" s="33" t="str">
        <x:v>Try one change at a time. Examples: 0.50 = half the base assumption; 1.00 = base; 1.50 = 50% above base. These are transparent scenario controls, not random draws.</x:v>
      </x:c>
      <x:c r="J4" s="33" t="str">
        <x:v>Try one change at a time. Examples: 0.50 = half the base assumption; 1.00 = base; 1.50 = 50% above base. These are transparent scenario controls, not random draws.</x:v>
      </x:c>
      <x:c r="K4" s="33" t="str">
        <x:v>Try one change at a time. Examples: 0.50 = half the base assumption; 1.00 = base; 1.50 = 50% above base. These are transparent scenario controls, not random draws.</x:v>
      </x:c>
      <x:c r="L4" s="33" t="str">
        <x:v>Try one change at a time. Examples: 0.50 = half the base assumption; 1.00 = base; 1.50 = 50% above base. These are transparent scenario controls, not random draws.</x:v>
      </x:c>
      <x:c r="M4" s="33" t="str">
        <x:v>Try one change at a time. Examples: 0.50 = half the base assumption; 1.00 = base; 1.50 = 50% above base. These are transparent scenario controls, not random draws.</x:v>
      </x:c>
      <x:c r="N4" s="33" t="str">
        <x:v>Try one change at a time. Examples: 0.50 = half the base assumption; 1.00 = base; 1.50 = 50% above base. These are transparent scenario controls, not random draws.</x:v>
      </x:c>
      <x:c r="O4" s="33" t="str">
        <x:v>Try one change at a time. Examples: 0.50 = half the base assumption; 1.00 = base; 1.50 = 50% above base. These are transparent scenario controls, not random draws.</x:v>
      </x:c>
      <x:c r="P4" s="33" t="str">
        <x:v>Try one change at a time. Examples: 0.50 = half the base assumption; 1.00 = base; 1.50 = 50% above base. These are transparent scenario controls, not random draws.</x:v>
      </x:c>
      <x:c r="Q4" s="33" t="str">
        <x:v>Try one change at a time. Examples: 0.50 = half the base assumption; 1.00 = base; 1.50 = 50% above base. These are transparent scenario controls, not random draws.</x:v>
      </x:c>
      <x:c r="R4" s="33" t="str">
        <x:v>Try one change at a time. Examples: 0.50 = half the base assumption; 1.00 = base; 1.50 = 50% above base. These are transparent scenario controls, not random draws.</x:v>
      </x:c>
      <x:c r="S4" s="33" t="str">
        <x:v>Try one change at a time. Examples: 0.50 = half the base assumption; 1.00 = base; 1.50 = 50% above base. These are transparent scenario controls, not random draws.</x:v>
      </x:c>
      <x:c r="T4" s="33" t="str">
        <x:v>Try one change at a time. Examples: 0.50 = half the base assumption; 1.00 = base; 1.50 = 50% above base. These are transparent scenario controls, not random draws.</x:v>
      </x:c>
      <x:c r="U4" s="33" t="str">
        <x:v>Try one change at a time. Examples: 0.50 = half the base assumption; 1.00 = base; 1.50 = 50% above base. These are transparent scenario controls, not random draws.</x:v>
      </x:c>
      <x:c r="V4" s="34" t="str">
        <x:v>Try one change at a time. Examples: 0.50 = half the base assumption; 1.00 = base; 1.50 = 50% above base. These are transparent scenario controls, not random draws.</x:v>
      </x:c>
    </x:row>
    <x:row r="5" ht="21" customHeight="1">
      <x:c r="A5" s="14" t="str">
        <x:v>Opening demand</x:v>
      </x:c>
      <x:c r="B5" s="72" t="n">
        <x:v>1</x:v>
      </x:c>
      <x:c r="C5" s="68" t="n">
        <x:f>B5*'Inputs'!$B$6</x:f>
        <x:v>750</x:v>
      </x:c>
      <x:c r="D5" s="14" t="str">
        <x:v>Year 1 demand</x:v>
      </x:c>
      <x:c r="F5" s="35" t="str">
        <x:v>Try one change at a time. Examples: 0.50 = half the base assumption; 1.00 = base; 1.50 = 50% above base. These are transparent scenario controls, not random draws.</x:v>
      </x:c>
      <x:c r="G5" s="31" t="str">
        <x:v>Try one change at a time. Examples: 0.50 = half the base assumption; 1.00 = base; 1.50 = 50% above base. These are transparent scenario controls, not random draws.</x:v>
      </x:c>
      <x:c r="H5" s="31" t="str">
        <x:v>Try one change at a time. Examples: 0.50 = half the base assumption; 1.00 = base; 1.50 = 50% above base. These are transparent scenario controls, not random draws.</x:v>
      </x:c>
      <x:c r="I5" s="31" t="str">
        <x:v>Try one change at a time. Examples: 0.50 = half the base assumption; 1.00 = base; 1.50 = 50% above base. These are transparent scenario controls, not random draws.</x:v>
      </x:c>
      <x:c r="J5" s="31" t="str">
        <x:v>Try one change at a time. Examples: 0.50 = half the base assumption; 1.00 = base; 1.50 = 50% above base. These are transparent scenario controls, not random draws.</x:v>
      </x:c>
      <x:c r="K5" s="31" t="str">
        <x:v>Try one change at a time. Examples: 0.50 = half the base assumption; 1.00 = base; 1.50 = 50% above base. These are transparent scenario controls, not random draws.</x:v>
      </x:c>
      <x:c r="L5" s="31" t="str">
        <x:v>Try one change at a time. Examples: 0.50 = half the base assumption; 1.00 = base; 1.50 = 50% above base. These are transparent scenario controls, not random draws.</x:v>
      </x:c>
      <x:c r="M5" s="31" t="str">
        <x:v>Try one change at a time. Examples: 0.50 = half the base assumption; 1.00 = base; 1.50 = 50% above base. These are transparent scenario controls, not random draws.</x:v>
      </x:c>
      <x:c r="N5" s="31" t="str">
        <x:v>Try one change at a time. Examples: 0.50 = half the base assumption; 1.00 = base; 1.50 = 50% above base. These are transparent scenario controls, not random draws.</x:v>
      </x:c>
      <x:c r="O5" s="31" t="str">
        <x:v>Try one change at a time. Examples: 0.50 = half the base assumption; 1.00 = base; 1.50 = 50% above base. These are transparent scenario controls, not random draws.</x:v>
      </x:c>
      <x:c r="P5" s="31" t="str">
        <x:v>Try one change at a time. Examples: 0.50 = half the base assumption; 1.00 = base; 1.50 = 50% above base. These are transparent scenario controls, not random draws.</x:v>
      </x:c>
      <x:c r="Q5" s="31" t="str">
        <x:v>Try one change at a time. Examples: 0.50 = half the base assumption; 1.00 = base; 1.50 = 50% above base. These are transparent scenario controls, not random draws.</x:v>
      </x:c>
      <x:c r="R5" s="31" t="str">
        <x:v>Try one change at a time. Examples: 0.50 = half the base assumption; 1.00 = base; 1.50 = 50% above base. These are transparent scenario controls, not random draws.</x:v>
      </x:c>
      <x:c r="S5" s="31" t="str">
        <x:v>Try one change at a time. Examples: 0.50 = half the base assumption; 1.00 = base; 1.50 = 50% above base. These are transparent scenario controls, not random draws.</x:v>
      </x:c>
      <x:c r="T5" s="31" t="str">
        <x:v>Try one change at a time. Examples: 0.50 = half the base assumption; 1.00 = base; 1.50 = 50% above base. These are transparent scenario controls, not random draws.</x:v>
      </x:c>
      <x:c r="U5" s="31" t="str">
        <x:v>Try one change at a time. Examples: 0.50 = half the base assumption; 1.00 = base; 1.50 = 50% above base. These are transparent scenario controls, not random draws.</x:v>
      </x:c>
      <x:c r="V5" s="36" t="str">
        <x:v>Try one change at a time. Examples: 0.50 = half the base assumption; 1.00 = base; 1.50 = 50% above base. These are transparent scenario controls, not random draws.</x:v>
      </x:c>
    </x:row>
    <x:row r="6" ht="21" customHeight="1">
      <x:c r="A6" s="14" t="str">
        <x:v>Growth by Year 10</x:v>
      </x:c>
      <x:c r="B6" s="72" t="n">
        <x:v>1</x:v>
      </x:c>
      <x:c r="C6" s="68" t="n">
        <x:f>B6*'Inputs'!$B$7</x:f>
        <x:v>750</x:v>
      </x:c>
      <x:c r="D6" s="14" t="str">
        <x:v>Early growth</x:v>
      </x:c>
      <x:c r="F6" s="35" t="str">
        <x:v>Try one change at a time. Examples: 0.50 = half the base assumption; 1.00 = base; 1.50 = 50% above base. These are transparent scenario controls, not random draws.</x:v>
      </x:c>
      <x:c r="G6" s="31" t="str">
        <x:v>Try one change at a time. Examples: 0.50 = half the base assumption; 1.00 = base; 1.50 = 50% above base. These are transparent scenario controls, not random draws.</x:v>
      </x:c>
      <x:c r="H6" s="31" t="str">
        <x:v>Try one change at a time. Examples: 0.50 = half the base assumption; 1.00 = base; 1.50 = 50% above base. These are transparent scenario controls, not random draws.</x:v>
      </x:c>
      <x:c r="I6" s="31" t="str">
        <x:v>Try one change at a time. Examples: 0.50 = half the base assumption; 1.00 = base; 1.50 = 50% above base. These are transparent scenario controls, not random draws.</x:v>
      </x:c>
      <x:c r="J6" s="31" t="str">
        <x:v>Try one change at a time. Examples: 0.50 = half the base assumption; 1.00 = base; 1.50 = 50% above base. These are transparent scenario controls, not random draws.</x:v>
      </x:c>
      <x:c r="K6" s="31" t="str">
        <x:v>Try one change at a time. Examples: 0.50 = half the base assumption; 1.00 = base; 1.50 = 50% above base. These are transparent scenario controls, not random draws.</x:v>
      </x:c>
      <x:c r="L6" s="31" t="str">
        <x:v>Try one change at a time. Examples: 0.50 = half the base assumption; 1.00 = base; 1.50 = 50% above base. These are transparent scenario controls, not random draws.</x:v>
      </x:c>
      <x:c r="M6" s="31" t="str">
        <x:v>Try one change at a time. Examples: 0.50 = half the base assumption; 1.00 = base; 1.50 = 50% above base. These are transparent scenario controls, not random draws.</x:v>
      </x:c>
      <x:c r="N6" s="31" t="str">
        <x:v>Try one change at a time. Examples: 0.50 = half the base assumption; 1.00 = base; 1.50 = 50% above base. These are transparent scenario controls, not random draws.</x:v>
      </x:c>
      <x:c r="O6" s="31" t="str">
        <x:v>Try one change at a time. Examples: 0.50 = half the base assumption; 1.00 = base; 1.50 = 50% above base. These are transparent scenario controls, not random draws.</x:v>
      </x:c>
      <x:c r="P6" s="31" t="str">
        <x:v>Try one change at a time. Examples: 0.50 = half the base assumption; 1.00 = base; 1.50 = 50% above base. These are transparent scenario controls, not random draws.</x:v>
      </x:c>
      <x:c r="Q6" s="31" t="str">
        <x:v>Try one change at a time. Examples: 0.50 = half the base assumption; 1.00 = base; 1.50 = 50% above base. These are transparent scenario controls, not random draws.</x:v>
      </x:c>
      <x:c r="R6" s="31" t="str">
        <x:v>Try one change at a time. Examples: 0.50 = half the base assumption; 1.00 = base; 1.50 = 50% above base. These are transparent scenario controls, not random draws.</x:v>
      </x:c>
      <x:c r="S6" s="31" t="str">
        <x:v>Try one change at a time. Examples: 0.50 = half the base assumption; 1.00 = base; 1.50 = 50% above base. These are transparent scenario controls, not random draws.</x:v>
      </x:c>
      <x:c r="T6" s="31" t="str">
        <x:v>Try one change at a time. Examples: 0.50 = half the base assumption; 1.00 = base; 1.50 = 50% above base. These are transparent scenario controls, not random draws.</x:v>
      </x:c>
      <x:c r="U6" s="31" t="str">
        <x:v>Try one change at a time. Examples: 0.50 = half the base assumption; 1.00 = base; 1.50 = 50% above base. These are transparent scenario controls, not random draws.</x:v>
      </x:c>
      <x:c r="V6" s="36" t="str">
        <x:v>Try one change at a time. Examples: 0.50 = half the base assumption; 1.00 = base; 1.50 = 50% above base. These are transparent scenario controls, not random draws.</x:v>
      </x:c>
    </x:row>
    <x:row r="7" ht="21" customHeight="1">
      <x:c r="A7" s="14" t="str">
        <x:v>Growth after Year 10</x:v>
      </x:c>
      <x:c r="B7" s="72" t="n">
        <x:v>1</x:v>
      </x:c>
      <x:c r="C7" s="68" t="n">
        <x:f>B7*'Inputs'!$B$8</x:f>
        <x:v>250</x:v>
      </x:c>
      <x:c r="D7" s="14" t="str">
        <x:v>Long-run addition</x:v>
      </x:c>
      <x:c r="F7" s="37" t="str">
        <x:v>Try one change at a time. Examples: 0.50 = half the base assumption; 1.00 = base; 1.50 = 50% above base. These are transparent scenario controls, not random draws.</x:v>
      </x:c>
      <x:c r="G7" s="38" t="str">
        <x:v>Try one change at a time. Examples: 0.50 = half the base assumption; 1.00 = base; 1.50 = 50% above base. These are transparent scenario controls, not random draws.</x:v>
      </x:c>
      <x:c r="H7" s="38" t="str">
        <x:v>Try one change at a time. Examples: 0.50 = half the base assumption; 1.00 = base; 1.50 = 50% above base. These are transparent scenario controls, not random draws.</x:v>
      </x:c>
      <x:c r="I7" s="38" t="str">
        <x:v>Try one change at a time. Examples: 0.50 = half the base assumption; 1.00 = base; 1.50 = 50% above base. These are transparent scenario controls, not random draws.</x:v>
      </x:c>
      <x:c r="J7" s="38" t="str">
        <x:v>Try one change at a time. Examples: 0.50 = half the base assumption; 1.00 = base; 1.50 = 50% above base. These are transparent scenario controls, not random draws.</x:v>
      </x:c>
      <x:c r="K7" s="38" t="str">
        <x:v>Try one change at a time. Examples: 0.50 = half the base assumption; 1.00 = base; 1.50 = 50% above base. These are transparent scenario controls, not random draws.</x:v>
      </x:c>
      <x:c r="L7" s="38" t="str">
        <x:v>Try one change at a time. Examples: 0.50 = half the base assumption; 1.00 = base; 1.50 = 50% above base. These are transparent scenario controls, not random draws.</x:v>
      </x:c>
      <x:c r="M7" s="38" t="str">
        <x:v>Try one change at a time. Examples: 0.50 = half the base assumption; 1.00 = base; 1.50 = 50% above base. These are transparent scenario controls, not random draws.</x:v>
      </x:c>
      <x:c r="N7" s="38" t="str">
        <x:v>Try one change at a time. Examples: 0.50 = half the base assumption; 1.00 = base; 1.50 = 50% above base. These are transparent scenario controls, not random draws.</x:v>
      </x:c>
      <x:c r="O7" s="38" t="str">
        <x:v>Try one change at a time. Examples: 0.50 = half the base assumption; 1.00 = base; 1.50 = 50% above base. These are transparent scenario controls, not random draws.</x:v>
      </x:c>
      <x:c r="P7" s="38" t="str">
        <x:v>Try one change at a time. Examples: 0.50 = half the base assumption; 1.00 = base; 1.50 = 50% above base. These are transparent scenario controls, not random draws.</x:v>
      </x:c>
      <x:c r="Q7" s="38" t="str">
        <x:v>Try one change at a time. Examples: 0.50 = half the base assumption; 1.00 = base; 1.50 = 50% above base. These are transparent scenario controls, not random draws.</x:v>
      </x:c>
      <x:c r="R7" s="38" t="str">
        <x:v>Try one change at a time. Examples: 0.50 = half the base assumption; 1.00 = base; 1.50 = 50% above base. These are transparent scenario controls, not random draws.</x:v>
      </x:c>
      <x:c r="S7" s="38" t="str">
        <x:v>Try one change at a time. Examples: 0.50 = half the base assumption; 1.00 = base; 1.50 = 50% above base. These are transparent scenario controls, not random draws.</x:v>
      </x:c>
      <x:c r="T7" s="38" t="str">
        <x:v>Try one change at a time. Examples: 0.50 = half the base assumption; 1.00 = base; 1.50 = 50% above base. These are transparent scenario controls, not random draws.</x:v>
      </x:c>
      <x:c r="U7" s="38" t="str">
        <x:v>Try one change at a time. Examples: 0.50 = half the base assumption; 1.00 = base; 1.50 = 50% above base. These are transparent scenario controls, not random draws.</x:v>
      </x:c>
      <x:c r="V7" s="39" t="str">
        <x:v>Try one change at a time. Examples: 0.50 = half the base assumption; 1.00 = base; 1.50 = 50% above base. These are transparent scenario controls, not random draws.</x:v>
      </x:c>
    </x:row>
    <x:row r="8" ht="21" customHeight="1"/>
    <x:row r="9" ht="21" customHeight="1"/>
    <x:row r="10" ht="21" customHeight="1">
      <x:c r="A10" s="46" t="str">
        <x:v>Year</x:v>
      </x:c>
      <x:c r="B10" s="46" t="n">
        <x:v>0</x:v>
      </x:c>
      <x:c r="C10" s="46" t="n">
        <x:v>1</x:v>
      </x:c>
      <x:c r="D10" s="46" t="n">
        <x:v>2</x:v>
      </x:c>
      <x:c r="E10" s="46" t="n">
        <x:v>3</x:v>
      </x:c>
      <x:c r="F10" s="46" t="n">
        <x:v>4</x:v>
      </x:c>
      <x:c r="G10" s="46" t="n">
        <x:v>5</x:v>
      </x:c>
      <x:c r="H10" s="46" t="n">
        <x:v>6</x:v>
      </x:c>
      <x:c r="I10" s="46" t="n">
        <x:v>7</x:v>
      </x:c>
      <x:c r="J10" s="46" t="n">
        <x:v>8</x:v>
      </x:c>
      <x:c r="K10" s="46" t="n">
        <x:v>9</x:v>
      </x:c>
      <x:c r="L10" s="46" t="n">
        <x:v>10</x:v>
      </x:c>
      <x:c r="M10" s="46" t="n">
        <x:v>11</x:v>
      </x:c>
      <x:c r="N10" s="46" t="n">
        <x:v>12</x:v>
      </x:c>
      <x:c r="O10" s="46" t="n">
        <x:v>13</x:v>
      </x:c>
      <x:c r="P10" s="46" t="n">
        <x:v>14</x:v>
      </x:c>
      <x:c r="Q10" s="46" t="n">
        <x:v>15</x:v>
      </x:c>
      <x:c r="R10" s="46" t="n">
        <x:v>16</x:v>
      </x:c>
      <x:c r="S10" s="46" t="n">
        <x:v>17</x:v>
      </x:c>
      <x:c r="T10" s="46" t="n">
        <x:v>18</x:v>
      </x:c>
      <x:c r="U10" s="46" t="n">
        <x:v>19</x:v>
      </x:c>
      <x:c r="V10" s="46" t="n">
        <x:v>20</x:v>
      </x:c>
    </x:row>
    <x:row r="11" ht="21" customHeight="1">
      <x:c r="A11" s="14"/>
      <x:c r="B11" s="14"/>
      <x:c r="C11" s="14"/>
      <x:c r="D11" s="14"/>
      <x:c r="E11" s="14"/>
      <x:c r="F11" s="14"/>
      <x:c r="G11" s="14"/>
      <x:c r="H11" s="14"/>
      <x:c r="I11" s="14"/>
      <x:c r="J11" s="14"/>
      <x:c r="K11" s="14"/>
      <x:c r="L11" s="14"/>
      <x:c r="M11" s="14"/>
      <x:c r="N11" s="14"/>
      <x:c r="O11" s="14"/>
      <x:c r="P11" s="14"/>
      <x:c r="Q11" s="14"/>
      <x:c r="R11" s="14"/>
      <x:c r="S11" s="14"/>
      <x:c r="T11" s="14"/>
      <x:c r="U11" s="14"/>
      <x:c r="V11" s="14"/>
    </x:row>
    <x:row r="12" ht="21" customHeight="1">
      <x:c r="A12" s="13" t="str">
        <x:v>Projected demand</x:v>
      </x:c>
      <x:c r="B12" s="68" t="n">
        <x:v>0</x:v>
      </x:c>
      <x:c r="C12" s="68" t="n">
        <x:f>($C$5+$C$6+$C$7)-(($C$6+$C$7)*EXP(-LN(($C$6+$C$7)/$C$7)/9*(C$10-1)))</x:f>
        <x:v>750</x:v>
      </x:c>
      <x:c r="D12" s="68" t="n">
        <x:f>($C$5+$C$6+$C$7)-(($C$6+$C$7)*EXP(-LN(($C$6+$C$7)/$C$7)/9*(D$10-1)))</x:f>
        <x:v>892.7560171469272</x:v>
      </x:c>
      <x:c r="E12" s="68" t="n">
        <x:f>($C$5+$C$6+$C$7)-(($C$6+$C$7)*EXP(-LN(($C$6+$C$7)/$C$7)/9*(E$10-1)))</x:f>
        <x:v>1015.1327538622006</x:v>
      </x:c>
      <x:c r="F12" s="68" t="n">
        <x:f>($C$5+$C$6+$C$7)-(($C$6+$C$7)*EXP(-LN(($C$6+$C$7)/$C$7)/9*(F$10-1)))</x:f>
        <x:v>1120.0394750525634</x:v>
      </x:c>
      <x:c r="G12" s="68" t="n">
        <x:f>($C$5+$C$6+$C$7)-(($C$6+$C$7)*EXP(-LN(($C$6+$C$7)/$C$7)/9*(G$10-1)))</x:f>
        <x:v>1209.970130553847</x:v>
      </x:c>
      <x:c r="H12" s="68" t="n">
        <x:f>($C$5+$C$6+$C$7)-(($C$6+$C$7)*EXP(-LN(($C$6+$C$7)/$C$7)/9*(H$10-1)))</x:f>
        <x:v>1287.0626438563547</x:v>
      </x:c>
      <x:c r="I12" s="68" t="n">
        <x:f>($C$5+$C$6+$C$7)-(($C$6+$C$7)*EXP(-LN(($C$6+$C$7)/$C$7)/9*(I$10-1)))</x:f>
        <x:v>1353.14973700795</x:v>
      </x:c>
      <x:c r="J12" s="68" t="n">
        <x:f>($C$5+$C$6+$C$7)-(($C$6+$C$7)*EXP(-LN(($C$6+$C$7)/$C$7)/9*(J$10-1)))</x:f>
        <x:v>1409.8024999564059</x:v>
      </x:c>
      <x:c r="K12" s="68" t="n">
        <x:f>($C$5+$C$6+$C$7)-(($C$6+$C$7)*EXP(-LN(($C$6+$C$7)/$C$7)/9*(K$10-1)))</x:f>
        <x:v>1458.3677401059708</x:v>
      </x:c>
      <x:c r="L12" s="68" t="n">
        <x:f>($C$5+$C$6+$C$7)-(($C$6+$C$7)*EXP(-LN(($C$6+$C$7)/$C$7)/9*(L$10-1)))</x:f>
        <x:v>1500</x:v>
      </x:c>
      <x:c r="M12" s="68" t="n">
        <x:f>($C$5+$C$6+$C$7)-(($C$6+$C$7)*EXP(-LN(($C$6+$C$7)/$C$7)/9*(M$10-1)))</x:f>
        <x:v>1535.6890042867317</x:v>
      </x:c>
      <x:c r="N12" s="68" t="n">
        <x:f>($C$5+$C$6+$C$7)-(($C$6+$C$7)*EXP(-LN(($C$6+$C$7)/$C$7)/9*(N$10-1)))</x:f>
        <x:v>1566.2831884655502</x:v>
      </x:c>
      <x:c r="O12" s="68" t="n">
        <x:f>($C$5+$C$6+$C$7)-(($C$6+$C$7)*EXP(-LN(($C$6+$C$7)/$C$7)/9*(O$10-1)))</x:f>
        <x:v>1592.509868763141</x:v>
      </x:c>
      <x:c r="P12" s="68" t="n">
        <x:f>($C$5+$C$6+$C$7)-(($C$6+$C$7)*EXP(-LN(($C$6+$C$7)/$C$7)/9*(P$10-1)))</x:f>
        <x:v>1614.9925326384619</x:v>
      </x:c>
      <x:c r="Q12" s="68" t="n">
        <x:f>($C$5+$C$6+$C$7)-(($C$6+$C$7)*EXP(-LN(($C$6+$C$7)/$C$7)/9*(Q$10-1)))</x:f>
        <x:v>1634.2656609640887</x:v>
      </x:c>
      <x:c r="R12" s="68" t="n">
        <x:f>($C$5+$C$6+$C$7)-(($C$6+$C$7)*EXP(-LN(($C$6+$C$7)/$C$7)/9*(R$10-1)))</x:f>
        <x:v>1650.7874342519876</x:v>
      </x:c>
      <x:c r="S12" s="68" t="n">
        <x:f>($C$5+$C$6+$C$7)-(($C$6+$C$7)*EXP(-LN(($C$6+$C$7)/$C$7)/9*(S$10-1)))</x:f>
        <x:v>1664.9506249891015</x:v>
      </x:c>
      <x:c r="T12" s="68" t="n">
        <x:f>($C$5+$C$6+$C$7)-(($C$6+$C$7)*EXP(-LN(($C$6+$C$7)/$C$7)/9*(T$10-1)))</x:f>
        <x:v>1677.0919350264926</x:v>
      </x:c>
      <x:c r="U12" s="68" t="n">
        <x:f>($C$5+$C$6+$C$7)-(($C$6+$C$7)*EXP(-LN(($C$6+$C$7)/$C$7)/9*(U$10-1)))</x:f>
        <x:v>1687.5</x:v>
      </x:c>
      <x:c r="V12" s="68" t="n">
        <x:f>($C$5+$C$6+$C$7)-(($C$6+$C$7)*EXP(-LN(($C$6+$C$7)/$C$7)/9*(V$10-1)))</x:f>
        <x:v>1696.422251071683</x:v>
      </x:c>
    </x:row>
    <x:row r="13" ht="21" customHeight="1">
      <x:c r="A13" s="13" t="str">
        <x:v>Built capacity</x:v>
      </x:c>
      <x:c r="B13" s="68" t="n">
        <x:v>0</x:v>
      </x:c>
      <x:c r="C13" s="68" t="n">
        <x:f>'Inputs'!$B$17*'Inputs'!$B$16</x:f>
        <x:v>1200</x:v>
      </x:c>
      <x:c r="D13" s="68" t="n">
        <x:f>'Inputs'!$B$17*'Inputs'!$B$16</x:f>
        <x:v>1200</x:v>
      </x:c>
      <x:c r="E13" s="68" t="n">
        <x:f>'Inputs'!$B$17*'Inputs'!$B$16</x:f>
        <x:v>1200</x:v>
      </x:c>
      <x:c r="F13" s="68" t="n">
        <x:f>'Inputs'!$B$17*'Inputs'!$B$16</x:f>
        <x:v>1200</x:v>
      </x:c>
      <x:c r="G13" s="68" t="n">
        <x:f>'Inputs'!$B$17*'Inputs'!$B$16</x:f>
        <x:v>1200</x:v>
      </x:c>
      <x:c r="H13" s="68" t="n">
        <x:f>'Inputs'!$B$17*'Inputs'!$B$16</x:f>
        <x:v>1200</x:v>
      </x:c>
      <x:c r="I13" s="68" t="n">
        <x:f>'Inputs'!$B$17*'Inputs'!$B$16</x:f>
        <x:v>1200</x:v>
      </x:c>
      <x:c r="J13" s="68" t="n">
        <x:f>'Inputs'!$B$17*'Inputs'!$B$16</x:f>
        <x:v>1200</x:v>
      </x:c>
      <x:c r="K13" s="68" t="n">
        <x:f>'Inputs'!$B$17*'Inputs'!$B$16</x:f>
        <x:v>1200</x:v>
      </x:c>
      <x:c r="L13" s="68" t="n">
        <x:f>'Inputs'!$B$17*'Inputs'!$B$16</x:f>
        <x:v>1200</x:v>
      </x:c>
      <x:c r="M13" s="68" t="n">
        <x:f>'Inputs'!$B$17*'Inputs'!$B$16</x:f>
        <x:v>1200</x:v>
      </x:c>
      <x:c r="N13" s="68" t="n">
        <x:f>'Inputs'!$B$17*'Inputs'!$B$16</x:f>
        <x:v>1200</x:v>
      </x:c>
      <x:c r="O13" s="68" t="n">
        <x:f>'Inputs'!$B$17*'Inputs'!$B$16</x:f>
        <x:v>1200</x:v>
      </x:c>
      <x:c r="P13" s="68" t="n">
        <x:f>'Inputs'!$B$17*'Inputs'!$B$16</x:f>
        <x:v>1200</x:v>
      </x:c>
      <x:c r="Q13" s="68" t="n">
        <x:f>'Inputs'!$B$17*'Inputs'!$B$16</x:f>
        <x:v>1200</x:v>
      </x:c>
      <x:c r="R13" s="68" t="n">
        <x:f>'Inputs'!$B$17*'Inputs'!$B$16</x:f>
        <x:v>1200</x:v>
      </x:c>
      <x:c r="S13" s="68" t="n">
        <x:f>'Inputs'!$B$17*'Inputs'!$B$16</x:f>
        <x:v>1200</x:v>
      </x:c>
      <x:c r="T13" s="68" t="n">
        <x:f>'Inputs'!$B$17*'Inputs'!$B$16</x:f>
        <x:v>1200</x:v>
      </x:c>
      <x:c r="U13" s="68" t="n">
        <x:f>'Inputs'!$B$17*'Inputs'!$B$16</x:f>
        <x:v>1200</x:v>
      </x:c>
      <x:c r="V13" s="68" t="n">
        <x:f>'Inputs'!$B$17*'Inputs'!$B$16</x:f>
        <x:v>1200</x:v>
      </x:c>
    </x:row>
    <x:row r="14" ht="21" customHeight="1">
      <x:c r="A14" s="13" t="str">
        <x:v>Used capacity</x:v>
      </x:c>
      <x:c r="B14" s="68" t="n">
        <x:v>0</x:v>
      </x:c>
      <x:c r="C14" s="68" t="n">
        <x:f>MIN(C12,C13)</x:f>
        <x:v>750</x:v>
      </x:c>
      <x:c r="D14" s="68" t="n">
        <x:f>MIN(D12,D13)</x:f>
        <x:v>892.7560171469272</x:v>
      </x:c>
      <x:c r="E14" s="68" t="n">
        <x:f>MIN(E12,E13)</x:f>
        <x:v>1015.1327538622006</x:v>
      </x:c>
      <x:c r="F14" s="68" t="n">
        <x:f>MIN(F12,F13)</x:f>
        <x:v>1120.0394750525634</x:v>
      </x:c>
      <x:c r="G14" s="68" t="n">
        <x:f>MIN(G12,G13)</x:f>
        <x:v>1200</x:v>
      </x:c>
      <x:c r="H14" s="68" t="n">
        <x:f>MIN(H12,H13)</x:f>
        <x:v>1200</x:v>
      </x:c>
      <x:c r="I14" s="68" t="n">
        <x:f>MIN(I12,I13)</x:f>
        <x:v>1200</x:v>
      </x:c>
      <x:c r="J14" s="68" t="n">
        <x:f>MIN(J12,J13)</x:f>
        <x:v>1200</x:v>
      </x:c>
      <x:c r="K14" s="68" t="n">
        <x:f>MIN(K12,K13)</x:f>
        <x:v>1200</x:v>
      </x:c>
      <x:c r="L14" s="68" t="n">
        <x:f>MIN(L12,L13)</x:f>
        <x:v>1200</x:v>
      </x:c>
      <x:c r="M14" s="68" t="n">
        <x:f>MIN(M12,M13)</x:f>
        <x:v>1200</x:v>
      </x:c>
      <x:c r="N14" s="68" t="n">
        <x:f>MIN(N12,N13)</x:f>
        <x:v>1200</x:v>
      </x:c>
      <x:c r="O14" s="68" t="n">
        <x:f>MIN(O12,O13)</x:f>
        <x:v>1200</x:v>
      </x:c>
      <x:c r="P14" s="68" t="n">
        <x:f>MIN(P12,P13)</x:f>
        <x:v>1200</x:v>
      </x:c>
      <x:c r="Q14" s="68" t="n">
        <x:f>MIN(Q12,Q13)</x:f>
        <x:v>1200</x:v>
      </x:c>
      <x:c r="R14" s="68" t="n">
        <x:f>MIN(R12,R13)</x:f>
        <x:v>1200</x:v>
      </x:c>
      <x:c r="S14" s="68" t="n">
        <x:f>MIN(S12,S13)</x:f>
        <x:v>1200</x:v>
      </x:c>
      <x:c r="T14" s="68" t="n">
        <x:f>MIN(T12,T13)</x:f>
        <x:v>1200</x:v>
      </x:c>
      <x:c r="U14" s="68" t="n">
        <x:f>MIN(U12,U13)</x:f>
        <x:v>1200</x:v>
      </x:c>
      <x:c r="V14" s="68" t="n">
        <x:f>MIN(V12,V13)</x:f>
        <x:v>1200</x:v>
      </x:c>
    </x:row>
    <x:row r="15" ht="21" customHeight="1">
      <x:c r="A15" s="13" t="str"/>
      <x:c r="B15" s="25"/>
      <x:c r="C15" s="25"/>
      <x:c r="D15" s="25"/>
      <x:c r="E15" s="25"/>
      <x:c r="F15" s="25"/>
      <x:c r="G15" s="25"/>
      <x:c r="H15" s="25"/>
      <x:c r="I15" s="25"/>
      <x:c r="J15" s="25"/>
      <x:c r="K15" s="25"/>
      <x:c r="L15" s="25"/>
      <x:c r="M15" s="25"/>
      <x:c r="N15" s="25"/>
      <x:c r="O15" s="25"/>
      <x:c r="P15" s="25"/>
      <x:c r="Q15" s="25"/>
      <x:c r="R15" s="25"/>
      <x:c r="S15" s="25"/>
      <x:c r="T15" s="25"/>
      <x:c r="U15" s="25"/>
      <x:c r="V15" s="25"/>
    </x:row>
    <x:row r="16" ht="21" customHeight="1">
      <x:c r="A16" s="13" t="str">
        <x:v>Revenue</x:v>
      </x:c>
      <x:c r="B16" s="60" t="n">
        <x:v>0</x:v>
      </x:c>
      <x:c r="C16" s="60" t="n">
        <x:f>C14*'Inputs'!$B$10</x:f>
        <x:v>7500000</x:v>
      </x:c>
      <x:c r="D16" s="60" t="n">
        <x:f>D14*'Inputs'!$B$10</x:f>
        <x:v>8927560.171469271</x:v>
      </x:c>
      <x:c r="E16" s="60" t="n">
        <x:f>E14*'Inputs'!$B$10</x:f>
        <x:v>10151327.538622007</x:v>
      </x:c>
      <x:c r="F16" s="60" t="n">
        <x:f>F14*'Inputs'!$B$10</x:f>
        <x:v>11200394.750525633</x:v>
      </x:c>
      <x:c r="G16" s="60" t="n">
        <x:f>G14*'Inputs'!$B$10</x:f>
        <x:v>12000000</x:v>
      </x:c>
      <x:c r="H16" s="60" t="n">
        <x:f>H14*'Inputs'!$B$10</x:f>
        <x:v>12000000</x:v>
      </x:c>
      <x:c r="I16" s="60" t="n">
        <x:f>I14*'Inputs'!$B$10</x:f>
        <x:v>12000000</x:v>
      </x:c>
      <x:c r="J16" s="60" t="n">
        <x:f>J14*'Inputs'!$B$10</x:f>
        <x:v>12000000</x:v>
      </x:c>
      <x:c r="K16" s="60" t="n">
        <x:f>K14*'Inputs'!$B$10</x:f>
        <x:v>12000000</x:v>
      </x:c>
      <x:c r="L16" s="60" t="n">
        <x:f>L14*'Inputs'!$B$10</x:f>
        <x:v>12000000</x:v>
      </x:c>
      <x:c r="M16" s="60" t="n">
        <x:f>M14*'Inputs'!$B$10</x:f>
        <x:v>12000000</x:v>
      </x:c>
      <x:c r="N16" s="60" t="n">
        <x:f>N14*'Inputs'!$B$10</x:f>
        <x:v>12000000</x:v>
      </x:c>
      <x:c r="O16" s="60" t="n">
        <x:f>O14*'Inputs'!$B$10</x:f>
        <x:v>12000000</x:v>
      </x:c>
      <x:c r="P16" s="60" t="n">
        <x:f>P14*'Inputs'!$B$10</x:f>
        <x:v>12000000</x:v>
      </x:c>
      <x:c r="Q16" s="60" t="n">
        <x:f>Q14*'Inputs'!$B$10</x:f>
        <x:v>12000000</x:v>
      </x:c>
      <x:c r="R16" s="60" t="n">
        <x:f>R14*'Inputs'!$B$10</x:f>
        <x:v>12000000</x:v>
      </x:c>
      <x:c r="S16" s="60" t="n">
        <x:f>S14*'Inputs'!$B$10</x:f>
        <x:v>12000000</x:v>
      </x:c>
      <x:c r="T16" s="60" t="n">
        <x:f>T14*'Inputs'!$B$10</x:f>
        <x:v>12000000</x:v>
      </x:c>
      <x:c r="U16" s="60" t="n">
        <x:f>U14*'Inputs'!$B$10</x:f>
        <x:v>12000000</x:v>
      </x:c>
      <x:c r="V16" s="60" t="n">
        <x:f>V14*'Inputs'!$B$10</x:f>
        <x:v>12000000</x:v>
      </x:c>
    </x:row>
    <x:row r="17" ht="21" customHeight="1">
      <x:c r="A17" s="13" t="str">
        <x:v>Operating cost</x:v>
      </x:c>
      <x:c r="B17" s="60" t="n">
        <x:v>0</x:v>
      </x:c>
      <x:c r="C17" s="60" t="n">
        <x:f>-C13*'Inputs'!$B$11</x:f>
        <x:v>-2400000</x:v>
      </x:c>
      <x:c r="D17" s="60" t="n">
        <x:f>-D13*'Inputs'!$B$11</x:f>
        <x:v>-2400000</x:v>
      </x:c>
      <x:c r="E17" s="60" t="n">
        <x:f>-E13*'Inputs'!$B$11</x:f>
        <x:v>-2400000</x:v>
      </x:c>
      <x:c r="F17" s="60" t="n">
        <x:f>-F13*'Inputs'!$B$11</x:f>
        <x:v>-2400000</x:v>
      </x:c>
      <x:c r="G17" s="60" t="n">
        <x:f>-G13*'Inputs'!$B$11</x:f>
        <x:v>-2400000</x:v>
      </x:c>
      <x:c r="H17" s="60" t="n">
        <x:f>-H13*'Inputs'!$B$11</x:f>
        <x:v>-2400000</x:v>
      </x:c>
      <x:c r="I17" s="60" t="n">
        <x:f>-I13*'Inputs'!$B$11</x:f>
        <x:v>-2400000</x:v>
      </x:c>
      <x:c r="J17" s="60" t="n">
        <x:f>-J13*'Inputs'!$B$11</x:f>
        <x:v>-2400000</x:v>
      </x:c>
      <x:c r="K17" s="60" t="n">
        <x:f>-K13*'Inputs'!$B$11</x:f>
        <x:v>-2400000</x:v>
      </x:c>
      <x:c r="L17" s="60" t="n">
        <x:f>-L13*'Inputs'!$B$11</x:f>
        <x:v>-2400000</x:v>
      </x:c>
      <x:c r="M17" s="60" t="n">
        <x:f>-M13*'Inputs'!$B$11</x:f>
        <x:v>-2400000</x:v>
      </x:c>
      <x:c r="N17" s="60" t="n">
        <x:f>-N13*'Inputs'!$B$11</x:f>
        <x:v>-2400000</x:v>
      </x:c>
      <x:c r="O17" s="60" t="n">
        <x:f>-O13*'Inputs'!$B$11</x:f>
        <x:v>-2400000</x:v>
      </x:c>
      <x:c r="P17" s="60" t="n">
        <x:f>-P13*'Inputs'!$B$11</x:f>
        <x:v>-2400000</x:v>
      </x:c>
      <x:c r="Q17" s="60" t="n">
        <x:f>-Q13*'Inputs'!$B$11</x:f>
        <x:v>-2400000</x:v>
      </x:c>
      <x:c r="R17" s="60" t="n">
        <x:f>-R13*'Inputs'!$B$11</x:f>
        <x:v>-2400000</x:v>
      </x:c>
      <x:c r="S17" s="60" t="n">
        <x:f>-S13*'Inputs'!$B$11</x:f>
        <x:v>-2400000</x:v>
      </x:c>
      <x:c r="T17" s="60" t="n">
        <x:f>-T13*'Inputs'!$B$11</x:f>
        <x:v>-2400000</x:v>
      </x:c>
      <x:c r="U17" s="60" t="n">
        <x:f>-U13*'Inputs'!$B$11</x:f>
        <x:v>-2400000</x:v>
      </x:c>
      <x:c r="V17" s="60" t="n">
        <x:f>-V13*'Inputs'!$B$11</x:f>
        <x:v>-2400000</x:v>
      </x:c>
    </x:row>
    <x:row r="18" ht="21" customHeight="1">
      <x:c r="A18" s="13" t="str">
        <x:v>Fixed land cost</x:v>
      </x:c>
      <x:c r="B18" s="60" t="n">
        <x:v>0</x:v>
      </x:c>
      <x:c r="C18" s="60" t="n">
        <x:f>-'Inputs'!$B$12</x:f>
        <x:v>-3600000</x:v>
      </x:c>
      <x:c r="D18" s="60" t="n">
        <x:f>-'Inputs'!$B$12</x:f>
        <x:v>-3600000</x:v>
      </x:c>
      <x:c r="E18" s="60" t="n">
        <x:f>-'Inputs'!$B$12</x:f>
        <x:v>-3600000</x:v>
      </x:c>
      <x:c r="F18" s="60" t="n">
        <x:f>-'Inputs'!$B$12</x:f>
        <x:v>-3600000</x:v>
      </x:c>
      <x:c r="G18" s="60" t="n">
        <x:f>-'Inputs'!$B$12</x:f>
        <x:v>-3600000</x:v>
      </x:c>
      <x:c r="H18" s="60" t="n">
        <x:f>-'Inputs'!$B$12</x:f>
        <x:v>-3600000</x:v>
      </x:c>
      <x:c r="I18" s="60" t="n">
        <x:f>-'Inputs'!$B$12</x:f>
        <x:v>-3600000</x:v>
      </x:c>
      <x:c r="J18" s="60" t="n">
        <x:f>-'Inputs'!$B$12</x:f>
        <x:v>-3600000</x:v>
      </x:c>
      <x:c r="K18" s="60" t="n">
        <x:f>-'Inputs'!$B$12</x:f>
        <x:v>-3600000</x:v>
      </x:c>
      <x:c r="L18" s="60" t="n">
        <x:f>-'Inputs'!$B$12</x:f>
        <x:v>-3600000</x:v>
      </x:c>
      <x:c r="M18" s="60" t="n">
        <x:f>-'Inputs'!$B$12</x:f>
        <x:v>-3600000</x:v>
      </x:c>
      <x:c r="N18" s="60" t="n">
        <x:f>-'Inputs'!$B$12</x:f>
        <x:v>-3600000</x:v>
      </x:c>
      <x:c r="O18" s="60" t="n">
        <x:f>-'Inputs'!$B$12</x:f>
        <x:v>-3600000</x:v>
      </x:c>
      <x:c r="P18" s="60" t="n">
        <x:f>-'Inputs'!$B$12</x:f>
        <x:v>-3600000</x:v>
      </x:c>
      <x:c r="Q18" s="60" t="n">
        <x:f>-'Inputs'!$B$12</x:f>
        <x:v>-3600000</x:v>
      </x:c>
      <x:c r="R18" s="60" t="n">
        <x:f>-'Inputs'!$B$12</x:f>
        <x:v>-3600000</x:v>
      </x:c>
      <x:c r="S18" s="60" t="n">
        <x:f>-'Inputs'!$B$12</x:f>
        <x:v>-3600000</x:v>
      </x:c>
      <x:c r="T18" s="60" t="n">
        <x:f>-'Inputs'!$B$12</x:f>
        <x:v>-3600000</x:v>
      </x:c>
      <x:c r="U18" s="60" t="n">
        <x:f>-'Inputs'!$B$12</x:f>
        <x:v>-3600000</x:v>
      </x:c>
      <x:c r="V18" s="60" t="n">
        <x:f>-'Inputs'!$B$12</x:f>
        <x:v>-3600000</x:v>
      </x:c>
    </x:row>
    <x:row r="19" ht="21" customHeight="1">
      <x:c r="A19" s="13" t="str">
        <x:v>Construction cost</x:v>
      </x:c>
      <x:c r="B19" s="60" t="n">
        <x:f>-SUMIF('Inputs'!$H$6:$H$14,"&lt;="&amp;'Inputs'!$B$17,'Inputs'!$I$6:$I$14)</x:f>
        <x:v>-22736320</x:v>
      </x:c>
      <x:c r="C19" s="60" t="n">
        <x:v>0</x:v>
      </x:c>
      <x:c r="D19" s="60" t="n">
        <x:v>0</x:v>
      </x:c>
      <x:c r="E19" s="60" t="n">
        <x:v>0</x:v>
      </x:c>
      <x:c r="F19" s="60" t="n">
        <x:v>0</x:v>
      </x:c>
      <x:c r="G19" s="60" t="n">
        <x:v>0</x:v>
      </x:c>
      <x:c r="H19" s="60" t="n">
        <x:v>0</x:v>
      </x:c>
      <x:c r="I19" s="60" t="n">
        <x:v>0</x:v>
      </x:c>
      <x:c r="J19" s="60" t="n">
        <x:v>0</x:v>
      </x:c>
      <x:c r="K19" s="60" t="n">
        <x:v>0</x:v>
      </x:c>
      <x:c r="L19" s="60" t="n">
        <x:v>0</x:v>
      </x:c>
      <x:c r="M19" s="60" t="n">
        <x:v>0</x:v>
      </x:c>
      <x:c r="N19" s="60" t="n">
        <x:v>0</x:v>
      </x:c>
      <x:c r="O19" s="60" t="n">
        <x:v>0</x:v>
      </x:c>
      <x:c r="P19" s="60" t="n">
        <x:v>0</x:v>
      </x:c>
      <x:c r="Q19" s="60" t="n">
        <x:v>0</x:v>
      </x:c>
      <x:c r="R19" s="60" t="n">
        <x:v>0</x:v>
      </x:c>
      <x:c r="S19" s="60" t="n">
        <x:v>0</x:v>
      </x:c>
      <x:c r="T19" s="60" t="n">
        <x:v>0</x:v>
      </x:c>
      <x:c r="U19" s="60" t="n">
        <x:v>0</x:v>
      </x:c>
      <x:c r="V19" s="60" t="n">
        <x:v>0</x:v>
      </x:c>
    </x:row>
    <x:row r="20" ht="21" customHeight="1">
      <x:c r="A20" s="13" t="str"/>
      <x:c r="B20" s="60"/>
      <x:c r="C20" s="60"/>
      <x:c r="D20" s="60"/>
      <x:c r="E20" s="60"/>
      <x:c r="F20" s="60"/>
      <x:c r="G20" s="60"/>
      <x:c r="H20" s="60"/>
      <x:c r="I20" s="60"/>
      <x:c r="J20" s="60"/>
      <x:c r="K20" s="60"/>
      <x:c r="L20" s="60"/>
      <x:c r="M20" s="60"/>
      <x:c r="N20" s="60"/>
      <x:c r="O20" s="60"/>
      <x:c r="P20" s="60"/>
      <x:c r="Q20" s="60"/>
      <x:c r="R20" s="60"/>
      <x:c r="S20" s="60"/>
      <x:c r="T20" s="60"/>
      <x:c r="U20" s="60"/>
      <x:c r="V20" s="60"/>
    </x:row>
    <x:row r="21" ht="21" customHeight="1">
      <x:c r="A21" s="13" t="str">
        <x:v>Net cash flow</x:v>
      </x:c>
      <x:c r="B21" s="60" t="n">
        <x:f>SUM(B16:B19)</x:f>
        <x:v>-22736320</x:v>
      </x:c>
      <x:c r="C21" s="60" t="n">
        <x:f>SUM(C16:C19)</x:f>
        <x:v>1500000</x:v>
      </x:c>
      <x:c r="D21" s="60" t="n">
        <x:f>SUM(D16:D19)</x:f>
        <x:v>2927560.171469271</x:v>
      </x:c>
      <x:c r="E21" s="60" t="n">
        <x:f>SUM(E16:E19)</x:f>
        <x:v>4151327.538622007</x:v>
      </x:c>
      <x:c r="F21" s="60" t="n">
        <x:f>SUM(F16:F19)</x:f>
        <x:v>5200394.750525633</x:v>
      </x:c>
      <x:c r="G21" s="60" t="n">
        <x:f>SUM(G16:G19)</x:f>
        <x:v>6000000</x:v>
      </x:c>
      <x:c r="H21" s="60" t="n">
        <x:f>SUM(H16:H19)</x:f>
        <x:v>6000000</x:v>
      </x:c>
      <x:c r="I21" s="60" t="n">
        <x:f>SUM(I16:I19)</x:f>
        <x:v>6000000</x:v>
      </x:c>
      <x:c r="J21" s="60" t="n">
        <x:f>SUM(J16:J19)</x:f>
        <x:v>6000000</x:v>
      </x:c>
      <x:c r="K21" s="60" t="n">
        <x:f>SUM(K16:K19)</x:f>
        <x:v>6000000</x:v>
      </x:c>
      <x:c r="L21" s="60" t="n">
        <x:f>SUM(L16:L19)</x:f>
        <x:v>6000000</x:v>
      </x:c>
      <x:c r="M21" s="60" t="n">
        <x:f>SUM(M16:M19)</x:f>
        <x:v>6000000</x:v>
      </x:c>
      <x:c r="N21" s="60" t="n">
        <x:f>SUM(N16:N19)</x:f>
        <x:v>6000000</x:v>
      </x:c>
      <x:c r="O21" s="60" t="n">
        <x:f>SUM(O16:O19)</x:f>
        <x:v>6000000</x:v>
      </x:c>
      <x:c r="P21" s="60" t="n">
        <x:f>SUM(P16:P19)</x:f>
        <x:v>6000000</x:v>
      </x:c>
      <x:c r="Q21" s="60" t="n">
        <x:f>SUM(Q16:Q19)</x:f>
        <x:v>6000000</x:v>
      </x:c>
      <x:c r="R21" s="60" t="n">
        <x:f>SUM(R16:R19)</x:f>
        <x:v>6000000</x:v>
      </x:c>
      <x:c r="S21" s="60" t="n">
        <x:f>SUM(S16:S19)</x:f>
        <x:v>6000000</x:v>
      </x:c>
      <x:c r="T21" s="60" t="n">
        <x:f>SUM(T16:T19)</x:f>
        <x:v>6000000</x:v>
      </x:c>
      <x:c r="U21" s="60" t="n">
        <x:f>SUM(U16:U19)</x:f>
        <x:v>6000000</x:v>
      </x:c>
      <x:c r="V21" s="60" t="n">
        <x:f>SUM(V16:V19)</x:f>
        <x:v>6000000</x:v>
      </x:c>
    </x:row>
    <x:row r="22" ht="21" customHeight="1">
      <x:c r="A22" s="13" t="str">
        <x:v>Discount factor</x:v>
      </x:c>
      <x:c r="B22" s="69" t="n">
        <x:v>1</x:v>
      </x:c>
      <x:c r="C22" s="69" t="n">
        <x:f>1/(1+'Inputs'!$B$22)^C$10</x:f>
        <x:v>0.8928571428571428</x:v>
      </x:c>
      <x:c r="D22" s="69" t="n">
        <x:f>1/(1+'Inputs'!$B$22)^D$10</x:f>
        <x:v>0.7971938775510203</x:v>
      </x:c>
      <x:c r="E22" s="69" t="n">
        <x:f>1/(1+'Inputs'!$B$22)^E$10</x:f>
        <x:v>0.7117802478134109</x:v>
      </x:c>
      <x:c r="F22" s="69" t="n">
        <x:f>1/(1+'Inputs'!$B$22)^F$10</x:f>
        <x:v>0.6355180784048311</x:v>
      </x:c>
      <x:c r="G22" s="69" t="n">
        <x:f>1/(1+'Inputs'!$B$22)^G$10</x:f>
        <x:v>0.5674268557185992</x:v>
      </x:c>
      <x:c r="H22" s="69" t="n">
        <x:f>1/(1+'Inputs'!$B$22)^H$10</x:f>
        <x:v>0.5066311211773206</x:v>
      </x:c>
      <x:c r="I22" s="69" t="n">
        <x:f>1/(1+'Inputs'!$B$22)^I$10</x:f>
        <x:v>0.4523492153368934</x:v>
      </x:c>
      <x:c r="J22" s="69" t="n">
        <x:f>1/(1+'Inputs'!$B$22)^J$10</x:f>
        <x:v>0.40388322797936904</x:v>
      </x:c>
      <x:c r="K22" s="69" t="n">
        <x:f>1/(1+'Inputs'!$B$22)^K$10</x:f>
        <x:v>0.36061002498157946</x:v>
      </x:c>
      <x:c r="L22" s="69" t="n">
        <x:f>1/(1+'Inputs'!$B$22)^L$10</x:f>
        <x:v>0.32197323659069593</x:v>
      </x:c>
      <x:c r="M22" s="69" t="n">
        <x:f>1/(1+'Inputs'!$B$22)^M$10</x:f>
        <x:v>0.2874761040988356</x:v>
      </x:c>
      <x:c r="N22" s="69" t="n">
        <x:f>1/(1+'Inputs'!$B$22)^N$10</x:f>
        <x:v>0.25667509294538887</x:v>
      </x:c>
      <x:c r="O22" s="69" t="n">
        <x:f>1/(1+'Inputs'!$B$22)^O$10</x:f>
        <x:v>0.2291741901298115</x:v>
      </x:c>
      <x:c r="P22" s="69" t="n">
        <x:f>1/(1+'Inputs'!$B$22)^P$10</x:f>
        <x:v>0.20461981261590312</x:v>
      </x:c>
      <x:c r="Q22" s="69" t="n">
        <x:f>1/(1+'Inputs'!$B$22)^Q$10</x:f>
        <x:v>0.1826962612641992</x:v>
      </x:c>
      <x:c r="R22" s="69" t="n">
        <x:f>1/(1+'Inputs'!$B$22)^R$10</x:f>
        <x:v>0.16312166184303498</x:v>
      </x:c>
      <x:c r="S22" s="69" t="n">
        <x:f>1/(1+'Inputs'!$B$22)^S$10</x:f>
        <x:v>0.14564434093128123</x:v>
      </x:c>
      <x:c r="T22" s="69" t="n">
        <x:f>1/(1+'Inputs'!$B$22)^T$10</x:f>
        <x:v>0.13003959011721536</x:v>
      </x:c>
      <x:c r="U22" s="69" t="n">
        <x:f>1/(1+'Inputs'!$B$22)^U$10</x:f>
        <x:v>0.11610677689037084</x:v>
      </x:c>
      <x:c r="V22" s="69" t="n">
        <x:f>1/(1+'Inputs'!$B$22)^V$10</x:f>
        <x:v>0.10366676508068824</x:v>
      </x:c>
    </x:row>
    <x:row r="23" ht="21" customHeight="1">
      <x:c r="A23" s="13" t="str">
        <x:v>Present value</x:v>
      </x:c>
      <x:c r="B23" s="60" t="n">
        <x:f>B21*B22</x:f>
        <x:v>-22736320</x:v>
      </x:c>
      <x:c r="C23" s="60" t="n">
        <x:f>C21*C22</x:f>
        <x:v>1339285.714285714</x:v>
      </x:c>
      <x:c r="D23" s="60" t="n">
        <x:f>D21*D22</x:f>
        <x:v>2333833.0448575183</x:v>
      </x:c>
      <x:c r="E23" s="60" t="n">
        <x:f>E21*E22</x:f>
        <x:v>2954832.944195009</x:v>
      </x:c>
      <x:c r="F23" s="60" t="n">
        <x:f>F21*F22</x:f>
        <x:v>3304944.8788006213</x:v>
      </x:c>
      <x:c r="G23" s="60" t="n">
        <x:f>G21*G22</x:f>
        <x:v>3404561.134311595</x:v>
      </x:c>
      <x:c r="H23" s="60" t="n">
        <x:f>H21*H22</x:f>
        <x:v>3039786.7270639236</x:v>
      </x:c>
      <x:c r="I23" s="60" t="n">
        <x:f>I21*I22</x:f>
        <x:v>2714095.2920213602</x:v>
      </x:c>
      <x:c r="J23" s="60" t="n">
        <x:f>J21*J22</x:f>
        <x:v>2423299.3678762144</x:v>
      </x:c>
      <x:c r="K23" s="60" t="n">
        <x:f>K21*K22</x:f>
        <x:v>2163660.1498894766</x:v>
      </x:c>
      <x:c r="L23" s="60" t="n">
        <x:f>L21*L22</x:f>
        <x:v>1931839.4195441755</x:v>
      </x:c>
      <x:c r="M23" s="60" t="n">
        <x:f>M21*M22</x:f>
        <x:v>1724856.6245930137</x:v>
      </x:c>
      <x:c r="N23" s="60" t="n">
        <x:f>N21*N22</x:f>
        <x:v>1540050.5576723332</x:v>
      </x:c>
      <x:c r="O23" s="60" t="n">
        <x:f>O21*O22</x:f>
        <x:v>1375045.140778869</x:v>
      </x:c>
      <x:c r="P23" s="60" t="n">
        <x:f>P21*P22</x:f>
        <x:v>1227718.8756954188</x:v>
      </x:c>
      <x:c r="Q23" s="60" t="n">
        <x:f>Q21*Q22</x:f>
        <x:v>1096177.5675851952</x:v>
      </x:c>
      <x:c r="R23" s="60" t="n">
        <x:f>R21*R22</x:f>
        <x:v>978729.9710582099</x:v>
      </x:c>
      <x:c r="S23" s="60" t="n">
        <x:f>S21*S22</x:f>
        <x:v>873866.0455876874</x:v>
      </x:c>
      <x:c r="T23" s="60" t="n">
        <x:f>T21*T22</x:f>
        <x:v>780237.5407032921</x:v>
      </x:c>
      <x:c r="U23" s="60" t="n">
        <x:f>U21*U22</x:f>
        <x:v>696640.661342225</x:v>
      </x:c>
      <x:c r="V23" s="60" t="n">
        <x:f>V21*V22</x:f>
        <x:v>622000.5904841295</x:v>
      </x:c>
    </x:row>
    <x:row r="24" ht="21" customHeight="1"/>
    <x:row r="25" ht="21" customHeight="1">
      <x:c r="A25" s="8" t="str">
        <x:v>Key result</x:v>
      </x:c>
      <x:c r="B25" s="8" t="str">
        <x:v>Key result</x:v>
      </x:c>
      <x:c r="C25" s="8" t="str">
        <x:v>Key result</x:v>
      </x:c>
      <x:c r="D25" s="8" t="str">
        <x:v>Key result</x:v>
      </x:c>
      <x:c r="F25" s="32" t="str">
        <x:v>The demand curve always passes through your selected opening demand and Year 10 target, then approaches the selected long-run demand. The fixed design remains at the number of levels selected on Inputs.</x:v>
      </x:c>
      <x:c r="G25" s="33" t="str">
        <x:v>The demand curve always passes through your selected opening demand and Year 10 target, then approaches the selected long-run demand. The fixed design remains at the number of levels selected on Inputs.</x:v>
      </x:c>
      <x:c r="H25" s="33" t="str">
        <x:v>The demand curve always passes through your selected opening demand and Year 10 target, then approaches the selected long-run demand. The fixed design remains at the number of levels selected on Inputs.</x:v>
      </x:c>
      <x:c r="I25" s="33" t="str">
        <x:v>The demand curve always passes through your selected opening demand and Year 10 target, then approaches the selected long-run demand. The fixed design remains at the number of levels selected on Inputs.</x:v>
      </x:c>
      <x:c r="J25" s="33" t="str">
        <x:v>The demand curve always passes through your selected opening demand and Year 10 target, then approaches the selected long-run demand. The fixed design remains at the number of levels selected on Inputs.</x:v>
      </x:c>
      <x:c r="K25" s="33" t="str">
        <x:v>The demand curve always passes through your selected opening demand and Year 10 target, then approaches the selected long-run demand. The fixed design remains at the number of levels selected on Inputs.</x:v>
      </x:c>
      <x:c r="L25" s="33" t="str">
        <x:v>The demand curve always passes through your selected opening demand and Year 10 target, then approaches the selected long-run demand. The fixed design remains at the number of levels selected on Inputs.</x:v>
      </x:c>
      <x:c r="M25" s="33" t="str">
        <x:v>The demand curve always passes through your selected opening demand and Year 10 target, then approaches the selected long-run demand. The fixed design remains at the number of levels selected on Inputs.</x:v>
      </x:c>
      <x:c r="N25" s="33" t="str">
        <x:v>The demand curve always passes through your selected opening demand and Year 10 target, then approaches the selected long-run demand. The fixed design remains at the number of levels selected on Inputs.</x:v>
      </x:c>
      <x:c r="O25" s="33" t="str">
        <x:v>The demand curve always passes through your selected opening demand and Year 10 target, then approaches the selected long-run demand. The fixed design remains at the number of levels selected on Inputs.</x:v>
      </x:c>
      <x:c r="P25" s="33" t="str">
        <x:v>The demand curve always passes through your selected opening demand and Year 10 target, then approaches the selected long-run demand. The fixed design remains at the number of levels selected on Inputs.</x:v>
      </x:c>
      <x:c r="Q25" s="33" t="str">
        <x:v>The demand curve always passes through your selected opening demand and Year 10 target, then approaches the selected long-run demand. The fixed design remains at the number of levels selected on Inputs.</x:v>
      </x:c>
      <x:c r="R25" s="33" t="str">
        <x:v>The demand curve always passes through your selected opening demand and Year 10 target, then approaches the selected long-run demand. The fixed design remains at the number of levels selected on Inputs.</x:v>
      </x:c>
      <x:c r="S25" s="33" t="str">
        <x:v>The demand curve always passes through your selected opening demand and Year 10 target, then approaches the selected long-run demand. The fixed design remains at the number of levels selected on Inputs.</x:v>
      </x:c>
      <x:c r="T25" s="33" t="str">
        <x:v>The demand curve always passes through your selected opening demand and Year 10 target, then approaches the selected long-run demand. The fixed design remains at the number of levels selected on Inputs.</x:v>
      </x:c>
      <x:c r="U25" s="33" t="str">
        <x:v>The demand curve always passes through your selected opening demand and Year 10 target, then approaches the selected long-run demand. The fixed design remains at the number of levels selected on Inputs.</x:v>
      </x:c>
      <x:c r="V25" s="34" t="str">
        <x:v>The demand curve always passes through your selected opening demand and Year 10 target, then approaches the selected long-run demand. The fixed design remains at the number of levels selected on Inputs.</x:v>
      </x:c>
    </x:row>
    <x:row r="26" ht="21" customHeight="1">
      <x:c r="A26" t="str">
        <x:v>Fixed-design NPV</x:v>
      </x:c>
      <x:c r="B26" s="63" t="n">
        <x:f>SUM(B23:V23)</x:f>
        <x:v>13789142.24834598</x:v>
      </x:c>
      <x:c r="F26" s="35" t="str">
        <x:v>The demand curve always passes through your selected opening demand and Year 10 target, then approaches the selected long-run demand. The fixed design remains at the number of levels selected on Inputs.</x:v>
      </x:c>
      <x:c r="G26" s="31" t="str">
        <x:v>The demand curve always passes through your selected opening demand and Year 10 target, then approaches the selected long-run demand. The fixed design remains at the number of levels selected on Inputs.</x:v>
      </x:c>
      <x:c r="H26" s="31" t="str">
        <x:v>The demand curve always passes through your selected opening demand and Year 10 target, then approaches the selected long-run demand. The fixed design remains at the number of levels selected on Inputs.</x:v>
      </x:c>
      <x:c r="I26" s="31" t="str">
        <x:v>The demand curve always passes through your selected opening demand and Year 10 target, then approaches the selected long-run demand. The fixed design remains at the number of levels selected on Inputs.</x:v>
      </x:c>
      <x:c r="J26" s="31" t="str">
        <x:v>The demand curve always passes through your selected opening demand and Year 10 target, then approaches the selected long-run demand. The fixed design remains at the number of levels selected on Inputs.</x:v>
      </x:c>
      <x:c r="K26" s="31" t="str">
        <x:v>The demand curve always passes through your selected opening demand and Year 10 target, then approaches the selected long-run demand. The fixed design remains at the number of levels selected on Inputs.</x:v>
      </x:c>
      <x:c r="L26" s="31" t="str">
        <x:v>The demand curve always passes through your selected opening demand and Year 10 target, then approaches the selected long-run demand. The fixed design remains at the number of levels selected on Inputs.</x:v>
      </x:c>
      <x:c r="M26" s="31" t="str">
        <x:v>The demand curve always passes through your selected opening demand and Year 10 target, then approaches the selected long-run demand. The fixed design remains at the number of levels selected on Inputs.</x:v>
      </x:c>
      <x:c r="N26" s="31" t="str">
        <x:v>The demand curve always passes through your selected opening demand and Year 10 target, then approaches the selected long-run demand. The fixed design remains at the number of levels selected on Inputs.</x:v>
      </x:c>
      <x:c r="O26" s="31" t="str">
        <x:v>The demand curve always passes through your selected opening demand and Year 10 target, then approaches the selected long-run demand. The fixed design remains at the number of levels selected on Inputs.</x:v>
      </x:c>
      <x:c r="P26" s="31" t="str">
        <x:v>The demand curve always passes through your selected opening demand and Year 10 target, then approaches the selected long-run demand. The fixed design remains at the number of levels selected on Inputs.</x:v>
      </x:c>
      <x:c r="Q26" s="31" t="str">
        <x:v>The demand curve always passes through your selected opening demand and Year 10 target, then approaches the selected long-run demand. The fixed design remains at the number of levels selected on Inputs.</x:v>
      </x:c>
      <x:c r="R26" s="31" t="str">
        <x:v>The demand curve always passes through your selected opening demand and Year 10 target, then approaches the selected long-run demand. The fixed design remains at the number of levels selected on Inputs.</x:v>
      </x:c>
      <x:c r="S26" s="31" t="str">
        <x:v>The demand curve always passes through your selected opening demand and Year 10 target, then approaches the selected long-run demand. The fixed design remains at the number of levels selected on Inputs.</x:v>
      </x:c>
      <x:c r="T26" s="31" t="str">
        <x:v>The demand curve always passes through your selected opening demand and Year 10 target, then approaches the selected long-run demand. The fixed design remains at the number of levels selected on Inputs.</x:v>
      </x:c>
      <x:c r="U26" s="31" t="str">
        <x:v>The demand curve always passes through your selected opening demand and Year 10 target, then approaches the selected long-run demand. The fixed design remains at the number of levels selected on Inputs.</x:v>
      </x:c>
      <x:c r="V26" s="36" t="str">
        <x:v>The demand curve always passes through your selected opening demand and Year 10 target, then approaches the selected long-run demand. The fixed design remains at the number of levels selected on Inputs.</x:v>
      </x:c>
    </x:row>
    <x:row r="27" ht="21" customHeight="1">
      <x:c r="F27" s="37" t="str">
        <x:v>The demand curve always passes through your selected opening demand and Year 10 target, then approaches the selected long-run demand. The fixed design remains at the number of levels selected on Inputs.</x:v>
      </x:c>
      <x:c r="G27" s="38" t="str">
        <x:v>The demand curve always passes through your selected opening demand and Year 10 target, then approaches the selected long-run demand. The fixed design remains at the number of levels selected on Inputs.</x:v>
      </x:c>
      <x:c r="H27" s="38" t="str">
        <x:v>The demand curve always passes through your selected opening demand and Year 10 target, then approaches the selected long-run demand. The fixed design remains at the number of levels selected on Inputs.</x:v>
      </x:c>
      <x:c r="I27" s="38" t="str">
        <x:v>The demand curve always passes through your selected opening demand and Year 10 target, then approaches the selected long-run demand. The fixed design remains at the number of levels selected on Inputs.</x:v>
      </x:c>
      <x:c r="J27" s="38" t="str">
        <x:v>The demand curve always passes through your selected opening demand and Year 10 target, then approaches the selected long-run demand. The fixed design remains at the number of levels selected on Inputs.</x:v>
      </x:c>
      <x:c r="K27" s="38" t="str">
        <x:v>The demand curve always passes through your selected opening demand and Year 10 target, then approaches the selected long-run demand. The fixed design remains at the number of levels selected on Inputs.</x:v>
      </x:c>
      <x:c r="L27" s="38" t="str">
        <x:v>The demand curve always passes through your selected opening demand and Year 10 target, then approaches the selected long-run demand. The fixed design remains at the number of levels selected on Inputs.</x:v>
      </x:c>
      <x:c r="M27" s="38" t="str">
        <x:v>The demand curve always passes through your selected opening demand and Year 10 target, then approaches the selected long-run demand. The fixed design remains at the number of levels selected on Inputs.</x:v>
      </x:c>
      <x:c r="N27" s="38" t="str">
        <x:v>The demand curve always passes through your selected opening demand and Year 10 target, then approaches the selected long-run demand. The fixed design remains at the number of levels selected on Inputs.</x:v>
      </x:c>
      <x:c r="O27" s="38" t="str">
        <x:v>The demand curve always passes through your selected opening demand and Year 10 target, then approaches the selected long-run demand. The fixed design remains at the number of levels selected on Inputs.</x:v>
      </x:c>
      <x:c r="P27" s="38" t="str">
        <x:v>The demand curve always passes through your selected opening demand and Year 10 target, then approaches the selected long-run demand. The fixed design remains at the number of levels selected on Inputs.</x:v>
      </x:c>
      <x:c r="Q27" s="38" t="str">
        <x:v>The demand curve always passes through your selected opening demand and Year 10 target, then approaches the selected long-run demand. The fixed design remains at the number of levels selected on Inputs.</x:v>
      </x:c>
      <x:c r="R27" s="38" t="str">
        <x:v>The demand curve always passes through your selected opening demand and Year 10 target, then approaches the selected long-run demand. The fixed design remains at the number of levels selected on Inputs.</x:v>
      </x:c>
      <x:c r="S27" s="38" t="str">
        <x:v>The demand curve always passes through your selected opening demand and Year 10 target, then approaches the selected long-run demand. The fixed design remains at the number of levels selected on Inputs.</x:v>
      </x:c>
      <x:c r="T27" s="38" t="str">
        <x:v>The demand curve always passes through your selected opening demand and Year 10 target, then approaches the selected long-run demand. The fixed design remains at the number of levels selected on Inputs.</x:v>
      </x:c>
      <x:c r="U27" s="38" t="str">
        <x:v>The demand curve always passes through your selected opening demand and Year 10 target, then approaches the selected long-run demand. The fixed design remains at the number of levels selected on Inputs.</x:v>
      </x:c>
      <x:c r="V27" s="39" t="str">
        <x:v>The demand curve always passes through your selected opening demand and Year 10 target, then approaches the selected long-run demand. The fixed design remains at the number of levels selected on Inputs.</x:v>
      </x:c>
    </x:row>
    <x:row r="28" ht="21" customHeight="1"/>
    <x:row r="29" ht="21" customHeight="1"/>
    <x:row r="30" ht="21" customHeight="1"/>
  </x:sheetData>
  <x:mergeCells>
    <x:mergeCell ref="A1:V2"/>
    <x:mergeCell ref="F4:V7"/>
    <x:mergeCell ref="A25:D25"/>
    <x:mergeCell ref="F25:V27"/>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7" hidden="0" customWidth="1"/>
    <x:col min="2" max="2" width="11" hidden="0" customWidth="1"/>
    <x:col min="3" max="3" width="11" hidden="0" customWidth="1"/>
    <x:col min="4" max="4" width="11" hidden="0" customWidth="1"/>
    <x:col min="5" max="5" width="11" hidden="0" customWidth="1"/>
    <x:col min="6" max="6" width="11" hidden="0" customWidth="1"/>
    <x:col min="7" max="7" width="11" hidden="0" customWidth="1"/>
    <x:col min="8" max="8" width="11" hidden="0" customWidth="1"/>
    <x:col min="9" max="9" width="11" hidden="0" customWidth="1"/>
    <x:col min="10" max="10" width="11" hidden="0" customWidth="1"/>
    <x:col min="11" max="11" width="11" hidden="0" customWidth="1"/>
    <x:col min="12" max="12" width="11" hidden="0" customWidth="1"/>
    <x:col min="13" max="13" width="11" hidden="0" customWidth="1"/>
    <x:col min="14" max="14" width="11" hidden="0" customWidth="1"/>
    <x:col min="15" max="15" width="11" hidden="0" customWidth="1"/>
    <x:col min="16" max="16" width="11" hidden="0" customWidth="1"/>
    <x:col min="17" max="17" width="11" hidden="0" customWidth="1"/>
    <x:col min="18" max="18" width="11" hidden="0" customWidth="1"/>
    <x:col min="19" max="19" width="11" hidden="0" customWidth="1"/>
    <x:col min="20" max="20" width="11" hidden="0" customWidth="1"/>
    <x:col min="21" max="21" width="11" hidden="0" customWidth="1"/>
    <x:col min="22" max="22" width="11" hidden="0" customWidth="1"/>
  </x:cols>
  <x:sheetData>
    <x:row r="1" ht="34" customHeight="1">
      <x:c r="A1" s="3" t="str">
        <x:v>Flexible Design — staged investment with an expansion rule</x:v>
      </x:c>
      <x:c r="B1" s="3" t="str">
        <x:v>Flexible Design — staged investment with an expansion rule</x:v>
      </x:c>
      <x:c r="C1" s="3" t="str">
        <x:v>Flexible Design — staged investment with an expansion rule</x:v>
      </x:c>
      <x:c r="D1" s="3" t="str">
        <x:v>Flexible Design — staged investment with an expansion rule</x:v>
      </x:c>
      <x:c r="E1" s="3" t="str">
        <x:v>Flexible Design — staged investment with an expansion rule</x:v>
      </x:c>
      <x:c r="F1" s="3" t="str">
        <x:v>Flexible Design — staged investment with an expansion rule</x:v>
      </x:c>
      <x:c r="G1" s="3" t="str">
        <x:v>Flexible Design — staged investment with an expansion rule</x:v>
      </x:c>
      <x:c r="H1" s="3" t="str">
        <x:v>Flexible Design — staged investment with an expansion rule</x:v>
      </x:c>
      <x:c r="I1" s="3" t="str">
        <x:v>Flexible Design — staged investment with an expansion rule</x:v>
      </x:c>
      <x:c r="J1" s="3" t="str">
        <x:v>Flexible Design — staged investment with an expansion rule</x:v>
      </x:c>
      <x:c r="K1" s="3" t="str">
        <x:v>Flexible Design — staged investment with an expansion rule</x:v>
      </x:c>
      <x:c r="L1" s="3" t="str">
        <x:v>Flexible Design — staged investment with an expansion rule</x:v>
      </x:c>
      <x:c r="M1" s="3" t="str">
        <x:v>Flexible Design — staged investment with an expansion rule</x:v>
      </x:c>
      <x:c r="N1" s="3" t="str">
        <x:v>Flexible Design — staged investment with an expansion rule</x:v>
      </x:c>
      <x:c r="O1" s="3" t="str">
        <x:v>Flexible Design — staged investment with an expansion rule</x:v>
      </x:c>
      <x:c r="P1" s="3" t="str">
        <x:v>Flexible Design — staged investment with an expansion rule</x:v>
      </x:c>
      <x:c r="Q1" s="3" t="str">
        <x:v>Flexible Design — staged investment with an expansion rule</x:v>
      </x:c>
      <x:c r="R1" s="3" t="str">
        <x:v>Flexible Design — staged investment with an expansion rule</x:v>
      </x:c>
      <x:c r="S1" s="3" t="str">
        <x:v>Flexible Design — staged investment with an expansion rule</x:v>
      </x:c>
      <x:c r="T1" s="3" t="str">
        <x:v>Flexible Design — staged investment with an expansion rule</x:v>
      </x:c>
      <x:c r="U1" s="3" t="str">
        <x:v>Flexible Design — staged investment with an expansion rule</x:v>
      </x:c>
      <x:c r="V1" s="3" t="str">
        <x:v>Flexible Design — staged investment with an expansion rule</x:v>
      </x:c>
    </x:row>
    <x:row r="2" ht="34" customHeight="1">
      <x:c r="A2" s="3" t="str">
        <x:v>Flexible Design — staged investment with an expansion rule</x:v>
      </x:c>
      <x:c r="B2" s="3" t="str">
        <x:v>Flexible Design — staged investment with an expansion rule</x:v>
      </x:c>
      <x:c r="C2" s="3" t="str">
        <x:v>Flexible Design — staged investment with an expansion rule</x:v>
      </x:c>
      <x:c r="D2" s="3" t="str">
        <x:v>Flexible Design — staged investment with an expansion rule</x:v>
      </x:c>
      <x:c r="E2" s="3" t="str">
        <x:v>Flexible Design — staged investment with an expansion rule</x:v>
      </x:c>
      <x:c r="F2" s="3" t="str">
        <x:v>Flexible Design — staged investment with an expansion rule</x:v>
      </x:c>
      <x:c r="G2" s="3" t="str">
        <x:v>Flexible Design — staged investment with an expansion rule</x:v>
      </x:c>
      <x:c r="H2" s="3" t="str">
        <x:v>Flexible Design — staged investment with an expansion rule</x:v>
      </x:c>
      <x:c r="I2" s="3" t="str">
        <x:v>Flexible Design — staged investment with an expansion rule</x:v>
      </x:c>
      <x:c r="J2" s="3" t="str">
        <x:v>Flexible Design — staged investment with an expansion rule</x:v>
      </x:c>
      <x:c r="K2" s="3" t="str">
        <x:v>Flexible Design — staged investment with an expansion rule</x:v>
      </x:c>
      <x:c r="L2" s="3" t="str">
        <x:v>Flexible Design — staged investment with an expansion rule</x:v>
      </x:c>
      <x:c r="M2" s="3" t="str">
        <x:v>Flexible Design — staged investment with an expansion rule</x:v>
      </x:c>
      <x:c r="N2" s="3" t="str">
        <x:v>Flexible Design — staged investment with an expansion rule</x:v>
      </x:c>
      <x:c r="O2" s="3" t="str">
        <x:v>Flexible Design — staged investment with an expansion rule</x:v>
      </x:c>
      <x:c r="P2" s="3" t="str">
        <x:v>Flexible Design — staged investment with an expansion rule</x:v>
      </x:c>
      <x:c r="Q2" s="3" t="str">
        <x:v>Flexible Design — staged investment with an expansion rule</x:v>
      </x:c>
      <x:c r="R2" s="3" t="str">
        <x:v>Flexible Design — staged investment with an expansion rule</x:v>
      </x:c>
      <x:c r="S2" s="3" t="str">
        <x:v>Flexible Design — staged investment with an expansion rule</x:v>
      </x:c>
      <x:c r="T2" s="3" t="str">
        <x:v>Flexible Design — staged investment with an expansion rule</x:v>
      </x:c>
      <x:c r="U2" s="3" t="str">
        <x:v>Flexible Design — staged investment with an expansion rule</x:v>
      </x:c>
      <x:c r="V2" s="3" t="str">
        <x:v>Flexible Design — staged investment with an expansion rule</x:v>
      </x:c>
    </x:row>
    <x:row r="4" ht="21" customHeight="1">
      <x:c r="A4" s="32" t="str">
        <x:v>Rule used here: expand by the selected increment when demand exceeded capacity in each of the prior two years, subject to the maximum level limit. The initial build includes the editable flexible-design premium. This makes the logic visible; it is an educational adaptation of the case’s real-options idea.</x:v>
      </x:c>
      <x:c r="B4" s="33" t="str">
        <x:v>Rule used here: expand by the selected increment when demand exceeded capacity in each of the prior two years, subject to the maximum level limit. The initial build includes the editable flexible-design premium. This makes the logic visible; it is an educational adaptation of the case’s real-options idea.</x:v>
      </x:c>
      <x:c r="C4" s="33" t="str">
        <x:v>Rule used here: expand by the selected increment when demand exceeded capacity in each of the prior two years, subject to the maximum level limit. The initial build includes the editable flexible-design premium. This makes the logic visible; it is an educational adaptation of the case’s real-options idea.</x:v>
      </x:c>
      <x:c r="D4" s="33" t="str">
        <x:v>Rule used here: expand by the selected increment when demand exceeded capacity in each of the prior two years, subject to the maximum level limit. The initial build includes the editable flexible-design premium. This makes the logic visible; it is an educational adaptation of the case’s real-options idea.</x:v>
      </x:c>
      <x:c r="E4" s="33" t="str">
        <x:v>Rule used here: expand by the selected increment when demand exceeded capacity in each of the prior two years, subject to the maximum level limit. The initial build includes the editable flexible-design premium. This makes the logic visible; it is an educational adaptation of the case’s real-options idea.</x:v>
      </x:c>
      <x:c r="F4" s="33" t="str">
        <x:v>Rule used here: expand by the selected increment when demand exceeded capacity in each of the prior two years, subject to the maximum level limit. The initial build includes the editable flexible-design premium. This makes the logic visible; it is an educational adaptation of the case’s real-options idea.</x:v>
      </x:c>
      <x:c r="G4" s="33" t="str">
        <x:v>Rule used here: expand by the selected increment when demand exceeded capacity in each of the prior two years, subject to the maximum level limit. The initial build includes the editable flexible-design premium. This makes the logic visible; it is an educational adaptation of the case’s real-options idea.</x:v>
      </x:c>
      <x:c r="H4" s="33" t="str">
        <x:v>Rule used here: expand by the selected increment when demand exceeded capacity in each of the prior two years, subject to the maximum level limit. The initial build includes the editable flexible-design premium. This makes the logic visible; it is an educational adaptation of the case’s real-options idea.</x:v>
      </x:c>
      <x:c r="I4" s="33" t="str">
        <x:v>Rule used here: expand by the selected increment when demand exceeded capacity in each of the prior two years, subject to the maximum level limit. The initial build includes the editable flexible-design premium. This makes the logic visible; it is an educational adaptation of the case’s real-options idea.</x:v>
      </x:c>
      <x:c r="J4" s="33" t="str">
        <x:v>Rule used here: expand by the selected increment when demand exceeded capacity in each of the prior two years, subject to the maximum level limit. The initial build includes the editable flexible-design premium. This makes the logic visible; it is an educational adaptation of the case’s real-options idea.</x:v>
      </x:c>
      <x:c r="K4" s="33" t="str">
        <x:v>Rule used here: expand by the selected increment when demand exceeded capacity in each of the prior two years, subject to the maximum level limit. The initial build includes the editable flexible-design premium. This makes the logic visible; it is an educational adaptation of the case’s real-options idea.</x:v>
      </x:c>
      <x:c r="L4" s="33" t="str">
        <x:v>Rule used here: expand by the selected increment when demand exceeded capacity in each of the prior two years, subject to the maximum level limit. The initial build includes the editable flexible-design premium. This makes the logic visible; it is an educational adaptation of the case’s real-options idea.</x:v>
      </x:c>
      <x:c r="M4" s="33" t="str">
        <x:v>Rule used here: expand by the selected increment when demand exceeded capacity in each of the prior two years, subject to the maximum level limit. The initial build includes the editable flexible-design premium. This makes the logic visible; it is an educational adaptation of the case’s real-options idea.</x:v>
      </x:c>
      <x:c r="N4" s="33" t="str">
        <x:v>Rule used here: expand by the selected increment when demand exceeded capacity in each of the prior two years, subject to the maximum level limit. The initial build includes the editable flexible-design premium. This makes the logic visible; it is an educational adaptation of the case’s real-options idea.</x:v>
      </x:c>
      <x:c r="O4" s="33" t="str">
        <x:v>Rule used here: expand by the selected increment when demand exceeded capacity in each of the prior two years, subject to the maximum level limit. The initial build includes the editable flexible-design premium. This makes the logic visible; it is an educational adaptation of the case’s real-options idea.</x:v>
      </x:c>
      <x:c r="P4" s="33" t="str">
        <x:v>Rule used here: expand by the selected increment when demand exceeded capacity in each of the prior two years, subject to the maximum level limit. The initial build includes the editable flexible-design premium. This makes the logic visible; it is an educational adaptation of the case’s real-options idea.</x:v>
      </x:c>
      <x:c r="Q4" s="33" t="str">
        <x:v>Rule used here: expand by the selected increment when demand exceeded capacity in each of the prior two years, subject to the maximum level limit. The initial build includes the editable flexible-design premium. This makes the logic visible; it is an educational adaptation of the case’s real-options idea.</x:v>
      </x:c>
      <x:c r="R4" s="33" t="str">
        <x:v>Rule used here: expand by the selected increment when demand exceeded capacity in each of the prior two years, subject to the maximum level limit. The initial build includes the editable flexible-design premium. This makes the logic visible; it is an educational adaptation of the case’s real-options idea.</x:v>
      </x:c>
      <x:c r="S4" s="33" t="str">
        <x:v>Rule used here: expand by the selected increment when demand exceeded capacity in each of the prior two years, subject to the maximum level limit. The initial build includes the editable flexible-design premium. This makes the logic visible; it is an educational adaptation of the case’s real-options idea.</x:v>
      </x:c>
      <x:c r="T4" s="33" t="str">
        <x:v>Rule used here: expand by the selected increment when demand exceeded capacity in each of the prior two years, subject to the maximum level limit. The initial build includes the editable flexible-design premium. This makes the logic visible; it is an educational adaptation of the case’s real-options idea.</x:v>
      </x:c>
      <x:c r="U4" s="33" t="str">
        <x:v>Rule used here: expand by the selected increment when demand exceeded capacity in each of the prior two years, subject to the maximum level limit. The initial build includes the editable flexible-design premium. This makes the logic visible; it is an educational adaptation of the case’s real-options idea.</x:v>
      </x:c>
      <x:c r="V4" s="34" t="str">
        <x:v>Rule used here: expand by the selected increment when demand exceeded capacity in each of the prior two years, subject to the maximum level limit. The initial build includes the editable flexible-design premium. This makes the logic visible; it is an educational adaptation of the case’s real-options idea.</x:v>
      </x:c>
    </x:row>
    <x:row r="5" ht="21" customHeight="1">
      <x:c r="A5" s="35" t="str">
        <x:v>Rule used here: expand by the selected increment when demand exceeded capacity in each of the prior two years, subject to the maximum level limit. The initial build includes the editable flexible-design premium. This makes the logic visible; it is an educational adaptation of the case’s real-options idea.</x:v>
      </x:c>
      <x:c r="B5" s="31" t="str">
        <x:v>Rule used here: expand by the selected increment when demand exceeded capacity in each of the prior two years, subject to the maximum level limit. The initial build includes the editable flexible-design premium. This makes the logic visible; it is an educational adaptation of the case’s real-options idea.</x:v>
      </x:c>
      <x:c r="C5" s="31" t="str">
        <x:v>Rule used here: expand by the selected increment when demand exceeded capacity in each of the prior two years, subject to the maximum level limit. The initial build includes the editable flexible-design premium. This makes the logic visible; it is an educational adaptation of the case’s real-options idea.</x:v>
      </x:c>
      <x:c r="D5" s="31" t="str">
        <x:v>Rule used here: expand by the selected increment when demand exceeded capacity in each of the prior two years, subject to the maximum level limit. The initial build includes the editable flexible-design premium. This makes the logic visible; it is an educational adaptation of the case’s real-options idea.</x:v>
      </x:c>
      <x:c r="E5" s="31" t="str">
        <x:v>Rule used here: expand by the selected increment when demand exceeded capacity in each of the prior two years, subject to the maximum level limit. The initial build includes the editable flexible-design premium. This makes the logic visible; it is an educational adaptation of the case’s real-options idea.</x:v>
      </x:c>
      <x:c r="F5" s="31" t="str">
        <x:v>Rule used here: expand by the selected increment when demand exceeded capacity in each of the prior two years, subject to the maximum level limit. The initial build includes the editable flexible-design premium. This makes the logic visible; it is an educational adaptation of the case’s real-options idea.</x:v>
      </x:c>
      <x:c r="G5" s="31" t="str">
        <x:v>Rule used here: expand by the selected increment when demand exceeded capacity in each of the prior two years, subject to the maximum level limit. The initial build includes the editable flexible-design premium. This makes the logic visible; it is an educational adaptation of the case’s real-options idea.</x:v>
      </x:c>
      <x:c r="H5" s="31" t="str">
        <x:v>Rule used here: expand by the selected increment when demand exceeded capacity in each of the prior two years, subject to the maximum level limit. The initial build includes the editable flexible-design premium. This makes the logic visible; it is an educational adaptation of the case’s real-options idea.</x:v>
      </x:c>
      <x:c r="I5" s="31" t="str">
        <x:v>Rule used here: expand by the selected increment when demand exceeded capacity in each of the prior two years, subject to the maximum level limit. The initial build includes the editable flexible-design premium. This makes the logic visible; it is an educational adaptation of the case’s real-options idea.</x:v>
      </x:c>
      <x:c r="J5" s="31" t="str">
        <x:v>Rule used here: expand by the selected increment when demand exceeded capacity in each of the prior two years, subject to the maximum level limit. The initial build includes the editable flexible-design premium. This makes the logic visible; it is an educational adaptation of the case’s real-options idea.</x:v>
      </x:c>
      <x:c r="K5" s="31" t="str">
        <x:v>Rule used here: expand by the selected increment when demand exceeded capacity in each of the prior two years, subject to the maximum level limit. The initial build includes the editable flexible-design premium. This makes the logic visible; it is an educational adaptation of the case’s real-options idea.</x:v>
      </x:c>
      <x:c r="L5" s="31" t="str">
        <x:v>Rule used here: expand by the selected increment when demand exceeded capacity in each of the prior two years, subject to the maximum level limit. The initial build includes the editable flexible-design premium. This makes the logic visible; it is an educational adaptation of the case’s real-options idea.</x:v>
      </x:c>
      <x:c r="M5" s="31" t="str">
        <x:v>Rule used here: expand by the selected increment when demand exceeded capacity in each of the prior two years, subject to the maximum level limit. The initial build includes the editable flexible-design premium. This makes the logic visible; it is an educational adaptation of the case’s real-options idea.</x:v>
      </x:c>
      <x:c r="N5" s="31" t="str">
        <x:v>Rule used here: expand by the selected increment when demand exceeded capacity in each of the prior two years, subject to the maximum level limit. The initial build includes the editable flexible-design premium. This makes the logic visible; it is an educational adaptation of the case’s real-options idea.</x:v>
      </x:c>
      <x:c r="O5" s="31" t="str">
        <x:v>Rule used here: expand by the selected increment when demand exceeded capacity in each of the prior two years, subject to the maximum level limit. The initial build includes the editable flexible-design premium. This makes the logic visible; it is an educational adaptation of the case’s real-options idea.</x:v>
      </x:c>
      <x:c r="P5" s="31" t="str">
        <x:v>Rule used here: expand by the selected increment when demand exceeded capacity in each of the prior two years, subject to the maximum level limit. The initial build includes the editable flexible-design premium. This makes the logic visible; it is an educational adaptation of the case’s real-options idea.</x:v>
      </x:c>
      <x:c r="Q5" s="31" t="str">
        <x:v>Rule used here: expand by the selected increment when demand exceeded capacity in each of the prior two years, subject to the maximum level limit. The initial build includes the editable flexible-design premium. This makes the logic visible; it is an educational adaptation of the case’s real-options idea.</x:v>
      </x:c>
      <x:c r="R5" s="31" t="str">
        <x:v>Rule used here: expand by the selected increment when demand exceeded capacity in each of the prior two years, subject to the maximum level limit. The initial build includes the editable flexible-design premium. This makes the logic visible; it is an educational adaptation of the case’s real-options idea.</x:v>
      </x:c>
      <x:c r="S5" s="31" t="str">
        <x:v>Rule used here: expand by the selected increment when demand exceeded capacity in each of the prior two years, subject to the maximum level limit. The initial build includes the editable flexible-design premium. This makes the logic visible; it is an educational adaptation of the case’s real-options idea.</x:v>
      </x:c>
      <x:c r="T5" s="31" t="str">
        <x:v>Rule used here: expand by the selected increment when demand exceeded capacity in each of the prior two years, subject to the maximum level limit. The initial build includes the editable flexible-design premium. This makes the logic visible; it is an educational adaptation of the case’s real-options idea.</x:v>
      </x:c>
      <x:c r="U5" s="31" t="str">
        <x:v>Rule used here: expand by the selected increment when demand exceeded capacity in each of the prior two years, subject to the maximum level limit. The initial build includes the editable flexible-design premium. This makes the logic visible; it is an educational adaptation of the case’s real-options idea.</x:v>
      </x:c>
      <x:c r="V5" s="36" t="str">
        <x:v>Rule used here: expand by the selected increment when demand exceeded capacity in each of the prior two years, subject to the maximum level limit. The initial build includes the editable flexible-design premium. This makes the logic visible; it is an educational adaptation of the case’s real-options idea.</x:v>
      </x:c>
    </x:row>
    <x:row r="6" ht="21" customHeight="1">
      <x:c r="A6" s="37" t="str">
        <x:v>Rule used here: expand by the selected increment when demand exceeded capacity in each of the prior two years, subject to the maximum level limit. The initial build includes the editable flexible-design premium. This makes the logic visible; it is an educational adaptation of the case’s real-options idea.</x:v>
      </x:c>
      <x:c r="B6" s="38" t="str">
        <x:v>Rule used here: expand by the selected increment when demand exceeded capacity in each of the prior two years, subject to the maximum level limit. The initial build includes the editable flexible-design premium. This makes the logic visible; it is an educational adaptation of the case’s real-options idea.</x:v>
      </x:c>
      <x:c r="C6" s="38" t="str">
        <x:v>Rule used here: expand by the selected increment when demand exceeded capacity in each of the prior two years, subject to the maximum level limit. The initial build includes the editable flexible-design premium. This makes the logic visible; it is an educational adaptation of the case’s real-options idea.</x:v>
      </x:c>
      <x:c r="D6" s="38" t="str">
        <x:v>Rule used here: expand by the selected increment when demand exceeded capacity in each of the prior two years, subject to the maximum level limit. The initial build includes the editable flexible-design premium. This makes the logic visible; it is an educational adaptation of the case’s real-options idea.</x:v>
      </x:c>
      <x:c r="E6" s="38" t="str">
        <x:v>Rule used here: expand by the selected increment when demand exceeded capacity in each of the prior two years, subject to the maximum level limit. The initial build includes the editable flexible-design premium. This makes the logic visible; it is an educational adaptation of the case’s real-options idea.</x:v>
      </x:c>
      <x:c r="F6" s="38" t="str">
        <x:v>Rule used here: expand by the selected increment when demand exceeded capacity in each of the prior two years, subject to the maximum level limit. The initial build includes the editable flexible-design premium. This makes the logic visible; it is an educational adaptation of the case’s real-options idea.</x:v>
      </x:c>
      <x:c r="G6" s="38" t="str">
        <x:v>Rule used here: expand by the selected increment when demand exceeded capacity in each of the prior two years, subject to the maximum level limit. The initial build includes the editable flexible-design premium. This makes the logic visible; it is an educational adaptation of the case’s real-options idea.</x:v>
      </x:c>
      <x:c r="H6" s="38" t="str">
        <x:v>Rule used here: expand by the selected increment when demand exceeded capacity in each of the prior two years, subject to the maximum level limit. The initial build includes the editable flexible-design premium. This makes the logic visible; it is an educational adaptation of the case’s real-options idea.</x:v>
      </x:c>
      <x:c r="I6" s="38" t="str">
        <x:v>Rule used here: expand by the selected increment when demand exceeded capacity in each of the prior two years, subject to the maximum level limit. The initial build includes the editable flexible-design premium. This makes the logic visible; it is an educational adaptation of the case’s real-options idea.</x:v>
      </x:c>
      <x:c r="J6" s="38" t="str">
        <x:v>Rule used here: expand by the selected increment when demand exceeded capacity in each of the prior two years, subject to the maximum level limit. The initial build includes the editable flexible-design premium. This makes the logic visible; it is an educational adaptation of the case’s real-options idea.</x:v>
      </x:c>
      <x:c r="K6" s="38" t="str">
        <x:v>Rule used here: expand by the selected increment when demand exceeded capacity in each of the prior two years, subject to the maximum level limit. The initial build includes the editable flexible-design premium. This makes the logic visible; it is an educational adaptation of the case’s real-options idea.</x:v>
      </x:c>
      <x:c r="L6" s="38" t="str">
        <x:v>Rule used here: expand by the selected increment when demand exceeded capacity in each of the prior two years, subject to the maximum level limit. The initial build includes the editable flexible-design premium. This makes the logic visible; it is an educational adaptation of the case’s real-options idea.</x:v>
      </x:c>
      <x:c r="M6" s="38" t="str">
        <x:v>Rule used here: expand by the selected increment when demand exceeded capacity in each of the prior two years, subject to the maximum level limit. The initial build includes the editable flexible-design premium. This makes the logic visible; it is an educational adaptation of the case’s real-options idea.</x:v>
      </x:c>
      <x:c r="N6" s="38" t="str">
        <x:v>Rule used here: expand by the selected increment when demand exceeded capacity in each of the prior two years, subject to the maximum level limit. The initial build includes the editable flexible-design premium. This makes the logic visible; it is an educational adaptation of the case’s real-options idea.</x:v>
      </x:c>
      <x:c r="O6" s="38" t="str">
        <x:v>Rule used here: expand by the selected increment when demand exceeded capacity in each of the prior two years, subject to the maximum level limit. The initial build includes the editable flexible-design premium. This makes the logic visible; it is an educational adaptation of the case’s real-options idea.</x:v>
      </x:c>
      <x:c r="P6" s="38" t="str">
        <x:v>Rule used here: expand by the selected increment when demand exceeded capacity in each of the prior two years, subject to the maximum level limit. The initial build includes the editable flexible-design premium. This makes the logic visible; it is an educational adaptation of the case’s real-options idea.</x:v>
      </x:c>
      <x:c r="Q6" s="38" t="str">
        <x:v>Rule used here: expand by the selected increment when demand exceeded capacity in each of the prior two years, subject to the maximum level limit. The initial build includes the editable flexible-design premium. This makes the logic visible; it is an educational adaptation of the case’s real-options idea.</x:v>
      </x:c>
      <x:c r="R6" s="38" t="str">
        <x:v>Rule used here: expand by the selected increment when demand exceeded capacity in each of the prior two years, subject to the maximum level limit. The initial build includes the editable flexible-design premium. This makes the logic visible; it is an educational adaptation of the case’s real-options idea.</x:v>
      </x:c>
      <x:c r="S6" s="38" t="str">
        <x:v>Rule used here: expand by the selected increment when demand exceeded capacity in each of the prior two years, subject to the maximum level limit. The initial build includes the editable flexible-design premium. This makes the logic visible; it is an educational adaptation of the case’s real-options idea.</x:v>
      </x:c>
      <x:c r="T6" s="38" t="str">
        <x:v>Rule used here: expand by the selected increment when demand exceeded capacity in each of the prior two years, subject to the maximum level limit. The initial build includes the editable flexible-design premium. This makes the logic visible; it is an educational adaptation of the case’s real-options idea.</x:v>
      </x:c>
      <x:c r="U6" s="38" t="str">
        <x:v>Rule used here: expand by the selected increment when demand exceeded capacity in each of the prior two years, subject to the maximum level limit. The initial build includes the editable flexible-design premium. This makes the logic visible; it is an educational adaptation of the case’s real-options idea.</x:v>
      </x:c>
      <x:c r="V6" s="39" t="str">
        <x:v>Rule used here: expand by the selected increment when demand exceeded capacity in each of the prior two years, subject to the maximum level limit. The initial build includes the editable flexible-design premium. This makes the logic visible; it is an educational adaptation of the case’s real-options idea.</x:v>
      </x:c>
    </x:row>
    <x:row r="7" ht="21" customHeight="1"/>
    <x:row r="8" ht="21" customHeight="1">
      <x:c r="A8" s="46" t="str">
        <x:v>Year</x:v>
      </x:c>
      <x:c r="B8" s="46" t="n">
        <x:v>0</x:v>
      </x:c>
      <x:c r="C8" s="46" t="n">
        <x:v>1</x:v>
      </x:c>
      <x:c r="D8" s="46" t="n">
        <x:v>2</x:v>
      </x:c>
      <x:c r="E8" s="46" t="n">
        <x:v>3</x:v>
      </x:c>
      <x:c r="F8" s="46" t="n">
        <x:v>4</x:v>
      </x:c>
      <x:c r="G8" s="46" t="n">
        <x:v>5</x:v>
      </x:c>
      <x:c r="H8" s="46" t="n">
        <x:v>6</x:v>
      </x:c>
      <x:c r="I8" s="46" t="n">
        <x:v>7</x:v>
      </x:c>
      <x:c r="J8" s="46" t="n">
        <x:v>8</x:v>
      </x:c>
      <x:c r="K8" s="46" t="n">
        <x:v>9</x:v>
      </x:c>
      <x:c r="L8" s="46" t="n">
        <x:v>10</x:v>
      </x:c>
      <x:c r="M8" s="46" t="n">
        <x:v>11</x:v>
      </x:c>
      <x:c r="N8" s="46" t="n">
        <x:v>12</x:v>
      </x:c>
      <x:c r="O8" s="46" t="n">
        <x:v>13</x:v>
      </x:c>
      <x:c r="P8" s="46" t="n">
        <x:v>14</x:v>
      </x:c>
      <x:c r="Q8" s="46" t="n">
        <x:v>15</x:v>
      </x:c>
      <x:c r="R8" s="46" t="n">
        <x:v>16</x:v>
      </x:c>
      <x:c r="S8" s="46" t="n">
        <x:v>17</x:v>
      </x:c>
      <x:c r="T8" s="46" t="n">
        <x:v>18</x:v>
      </x:c>
      <x:c r="U8" s="46" t="n">
        <x:v>19</x:v>
      </x:c>
      <x:c r="V8" s="46" t="n">
        <x:v>20</x:v>
      </x:c>
    </x:row>
    <x:row r="9" ht="21" customHeight="1">
      <x:c r="A9" s="14"/>
      <x:c r="B9" s="14"/>
      <x:c r="C9" s="14"/>
      <x:c r="D9" s="14"/>
      <x:c r="E9" s="14"/>
      <x:c r="F9" s="14"/>
      <x:c r="G9" s="14"/>
      <x:c r="H9" s="14"/>
      <x:c r="I9" s="14"/>
      <x:c r="J9" s="14"/>
      <x:c r="K9" s="14"/>
      <x:c r="L9" s="14"/>
      <x:c r="M9" s="14"/>
      <x:c r="N9" s="14"/>
      <x:c r="O9" s="14"/>
      <x:c r="P9" s="14"/>
      <x:c r="Q9" s="14"/>
      <x:c r="R9" s="14"/>
      <x:c r="S9" s="14"/>
      <x:c r="T9" s="14"/>
      <x:c r="U9" s="14"/>
      <x:c r="V9" s="14"/>
    </x:row>
    <x:row r="10" ht="21" customHeight="1">
      <x:c r="A10" s="13" t="str">
        <x:v>Scenario demand</x:v>
      </x:c>
      <x:c r="B10" s="68" t="n">
        <x:v>0</x:v>
      </x:c>
      <x:c r="C10" s="68" t="n">
        <x:f>'Scenario Explorer'!C12</x:f>
        <x:v>750</x:v>
      </x:c>
      <x:c r="D10" s="68" t="n">
        <x:f>'Scenario Explorer'!D12</x:f>
        <x:v>892.7560171469272</x:v>
      </x:c>
      <x:c r="E10" s="68" t="n">
        <x:f>'Scenario Explorer'!E12</x:f>
        <x:v>1015.1327538622006</x:v>
      </x:c>
      <x:c r="F10" s="68" t="n">
        <x:f>'Scenario Explorer'!F12</x:f>
        <x:v>1120.0394750525634</x:v>
      </x:c>
      <x:c r="G10" s="68" t="n">
        <x:f>'Scenario Explorer'!G12</x:f>
        <x:v>1209.970130553847</x:v>
      </x:c>
      <x:c r="H10" s="68" t="n">
        <x:f>'Scenario Explorer'!H12</x:f>
        <x:v>1287.0626438563547</x:v>
      </x:c>
      <x:c r="I10" s="68" t="n">
        <x:f>'Scenario Explorer'!I12</x:f>
        <x:v>1353.14973700795</x:v>
      </x:c>
      <x:c r="J10" s="68" t="n">
        <x:f>'Scenario Explorer'!J12</x:f>
        <x:v>1409.8024999564059</x:v>
      </x:c>
      <x:c r="K10" s="68" t="n">
        <x:f>'Scenario Explorer'!K12</x:f>
        <x:v>1458.3677401059708</x:v>
      </x:c>
      <x:c r="L10" s="68" t="n">
        <x:f>'Scenario Explorer'!L12</x:f>
        <x:v>1500</x:v>
      </x:c>
      <x:c r="M10" s="68" t="n">
        <x:f>'Scenario Explorer'!M12</x:f>
        <x:v>1535.6890042867317</x:v>
      </x:c>
      <x:c r="N10" s="68" t="n">
        <x:f>'Scenario Explorer'!N12</x:f>
        <x:v>1566.2831884655502</x:v>
      </x:c>
      <x:c r="O10" s="68" t="n">
        <x:f>'Scenario Explorer'!O12</x:f>
        <x:v>1592.509868763141</x:v>
      </x:c>
      <x:c r="P10" s="68" t="n">
        <x:f>'Scenario Explorer'!P12</x:f>
        <x:v>1614.9925326384619</x:v>
      </x:c>
      <x:c r="Q10" s="68" t="n">
        <x:f>'Scenario Explorer'!Q12</x:f>
        <x:v>1634.2656609640887</x:v>
      </x:c>
      <x:c r="R10" s="68" t="n">
        <x:f>'Scenario Explorer'!R12</x:f>
        <x:v>1650.7874342519876</x:v>
      </x:c>
      <x:c r="S10" s="68" t="n">
        <x:f>'Scenario Explorer'!S12</x:f>
        <x:v>1664.9506249891015</x:v>
      </x:c>
      <x:c r="T10" s="68" t="n">
        <x:f>'Scenario Explorer'!T12</x:f>
        <x:v>1677.0919350264926</x:v>
      </x:c>
      <x:c r="U10" s="68" t="n">
        <x:f>'Scenario Explorer'!U12</x:f>
        <x:v>1687.5</x:v>
      </x:c>
      <x:c r="V10" s="68" t="n">
        <x:f>'Scenario Explorer'!V12</x:f>
        <x:v>1696.422251071683</x:v>
      </x:c>
    </x:row>
    <x:row r="11" ht="21" customHeight="1">
      <x:c r="A11" s="13" t="str">
        <x:v>Expansion decision (levels)</x:v>
      </x:c>
      <x:c r="B11" s="68" t="n">
        <x:v>0</x:v>
      </x:c>
      <x:c r="C11" s="68" t="n">
        <x:v>0</x:v>
      </x:c>
      <x:c r="D11" s="68" t="n">
        <x:v>0</x:v>
      </x:c>
      <x:c r="E11" s="68" t="n">
        <x:f>IF(AND(D10&gt;D12,C10&gt;C12,D13&lt;'Inputs'!$B$19),MIN('Inputs'!$B$27,'Inputs'!$B$19-D13),0)</x:f>
        <x:v>0</x:v>
      </x:c>
      <x:c r="F11" s="68" t="n">
        <x:f>IF(AND(E10&gt;E12,D10&gt;D12,E13&lt;'Inputs'!$B$19),MIN('Inputs'!$B$27,'Inputs'!$B$19-E13),0)</x:f>
        <x:v>1</x:v>
      </x:c>
      <x:c r="G11" s="68" t="n">
        <x:f>IF(AND(F10&gt;F12,E10&gt;E12,F13&lt;'Inputs'!$B$19),MIN('Inputs'!$B$27,'Inputs'!$B$19-F13),0)</x:f>
        <x:v>1</x:v>
      </x:c>
      <x:c r="H11" s="68" t="n">
        <x:f>IF(AND(G10&gt;G12,F10&gt;F12,G13&lt;'Inputs'!$B$19),MIN('Inputs'!$B$27,'Inputs'!$B$19-G13),0)</x:f>
        <x:v>1</x:v>
      </x:c>
      <x:c r="I11" s="68" t="n">
        <x:f>IF(AND(H10&gt;H12,G10&gt;G12,H13&lt;'Inputs'!$B$19),MIN('Inputs'!$B$27,'Inputs'!$B$19-H13),0)</x:f>
        <x:v>0</x:v>
      </x:c>
      <x:c r="J11" s="68" t="n">
        <x:f>IF(AND(I10&gt;I12,H10&gt;H12,I13&lt;'Inputs'!$B$19),MIN('Inputs'!$B$27,'Inputs'!$B$19-I13),0)</x:f>
        <x:v>0</x:v>
      </x:c>
      <x:c r="K11" s="68" t="n">
        <x:f>IF(AND(J10&gt;J12,I10&gt;I12,J13&lt;'Inputs'!$B$19),MIN('Inputs'!$B$27,'Inputs'!$B$19-J13),0)</x:f>
        <x:v>0</x:v>
      </x:c>
      <x:c r="L11" s="68" t="n">
        <x:f>IF(AND(K10&gt;K12,J10&gt;J12,K13&lt;'Inputs'!$B$19),MIN('Inputs'!$B$27,'Inputs'!$B$19-K13),0)</x:f>
        <x:v>1</x:v>
      </x:c>
      <x:c r="M11" s="68" t="n">
        <x:f>IF(AND(L10&gt;L12,K10&gt;K12,L13&lt;'Inputs'!$B$19),MIN('Inputs'!$B$27,'Inputs'!$B$19-L13),0)</x:f>
        <x:v>0</x:v>
      </x:c>
      <x:c r="N11" s="68" t="n">
        <x:f>IF(AND(M10&gt;M12,L10&gt;L12,M13&lt;'Inputs'!$B$19),MIN('Inputs'!$B$27,'Inputs'!$B$19-M13),0)</x:f>
        <x:v>0</x:v>
      </x:c>
      <x:c r="O11" s="68" t="n">
        <x:f>IF(AND(N10&gt;N12,M10&gt;M12,N13&lt;'Inputs'!$B$19),MIN('Inputs'!$B$27,'Inputs'!$B$19-N13),0)</x:f>
        <x:v>0</x:v>
      </x:c>
      <x:c r="P11" s="68" t="n">
        <x:f>IF(AND(O10&gt;O12,N10&gt;N12,O13&lt;'Inputs'!$B$19),MIN('Inputs'!$B$27,'Inputs'!$B$19-O13),0)</x:f>
        <x:v>0</x:v>
      </x:c>
      <x:c r="Q11" s="68" t="n">
        <x:f>IF(AND(P10&gt;P12,O10&gt;O12,P13&lt;'Inputs'!$B$19),MIN('Inputs'!$B$27,'Inputs'!$B$19-P13),0)</x:f>
        <x:v>0</x:v>
      </x:c>
      <x:c r="R11" s="68" t="n">
        <x:f>IF(AND(Q10&gt;Q12,P10&gt;P12,Q13&lt;'Inputs'!$B$19),MIN('Inputs'!$B$27,'Inputs'!$B$19-Q13),0)</x:f>
        <x:v>1</x:v>
      </x:c>
      <x:c r="S11" s="68" t="n">
        <x:f>IF(AND(R10&gt;R12,Q10&gt;Q12,R13&lt;'Inputs'!$B$19),MIN('Inputs'!$B$27,'Inputs'!$B$19-R13),0)</x:f>
        <x:v>0</x:v>
      </x:c>
      <x:c r="T11" s="68" t="n">
        <x:f>IF(AND(S10&gt;S12,R10&gt;R12,S13&lt;'Inputs'!$B$19),MIN('Inputs'!$B$27,'Inputs'!$B$19-S13),0)</x:f>
        <x:v>0</x:v>
      </x:c>
      <x:c r="U11" s="68" t="n">
        <x:f>IF(AND(T10&gt;T12,S10&gt;S12,T13&lt;'Inputs'!$B$19),MIN('Inputs'!$B$27,'Inputs'!$B$19-T13),0)</x:f>
        <x:v>0</x:v>
      </x:c>
      <x:c r="V11" s="68" t="n">
        <x:f>IF(AND(U10&gt;U12,T10&gt;T12,U13&lt;'Inputs'!$B$19),MIN('Inputs'!$B$27,'Inputs'!$B$19-U13),0)</x:f>
        <x:v>0</x:v>
      </x:c>
    </x:row>
    <x:row r="12" ht="21" customHeight="1">
      <x:c r="A12" s="13" t="str">
        <x:v>Built capacity</x:v>
      </x:c>
      <x:c r="B12" s="68" t="n">
        <x:v>0</x:v>
      </x:c>
      <x:c r="C12" s="68" t="n">
        <x:f>C13*'Inputs'!$B$16</x:f>
        <x:v>800</x:v>
      </x:c>
      <x:c r="D12" s="68" t="n">
        <x:f>D13*'Inputs'!$B$16</x:f>
        <x:v>800</x:v>
      </x:c>
      <x:c r="E12" s="68" t="n">
        <x:f>E13*'Inputs'!$B$16</x:f>
        <x:v>800</x:v>
      </x:c>
      <x:c r="F12" s="68" t="n">
        <x:f>F13*'Inputs'!$B$16</x:f>
        <x:v>1000</x:v>
      </x:c>
      <x:c r="G12" s="68" t="n">
        <x:f>G13*'Inputs'!$B$16</x:f>
        <x:v>1200</x:v>
      </x:c>
      <x:c r="H12" s="68" t="n">
        <x:f>H13*'Inputs'!$B$16</x:f>
        <x:v>1400</x:v>
      </x:c>
      <x:c r="I12" s="68" t="n">
        <x:f>I13*'Inputs'!$B$16</x:f>
        <x:v>1400</x:v>
      </x:c>
      <x:c r="J12" s="68" t="n">
        <x:f>J13*'Inputs'!$B$16</x:f>
        <x:v>1400</x:v>
      </x:c>
      <x:c r="K12" s="68" t="n">
        <x:f>K13*'Inputs'!$B$16</x:f>
        <x:v>1400</x:v>
      </x:c>
      <x:c r="L12" s="68" t="n">
        <x:f>L13*'Inputs'!$B$16</x:f>
        <x:v>1600</x:v>
      </x:c>
      <x:c r="M12" s="68" t="n">
        <x:f>M13*'Inputs'!$B$16</x:f>
        <x:v>1600</x:v>
      </x:c>
      <x:c r="N12" s="68" t="n">
        <x:f>N13*'Inputs'!$B$16</x:f>
        <x:v>1600</x:v>
      </x:c>
      <x:c r="O12" s="68" t="n">
        <x:f>O13*'Inputs'!$B$16</x:f>
        <x:v>1600</x:v>
      </x:c>
      <x:c r="P12" s="68" t="n">
        <x:f>P13*'Inputs'!$B$16</x:f>
        <x:v>1600</x:v>
      </x:c>
      <x:c r="Q12" s="68" t="n">
        <x:f>Q13*'Inputs'!$B$16</x:f>
        <x:v>1600</x:v>
      </x:c>
      <x:c r="R12" s="68" t="n">
        <x:f>R13*'Inputs'!$B$16</x:f>
        <x:v>1800</x:v>
      </x:c>
      <x:c r="S12" s="68" t="n">
        <x:f>S13*'Inputs'!$B$16</x:f>
        <x:v>1800</x:v>
      </x:c>
      <x:c r="T12" s="68" t="n">
        <x:f>T13*'Inputs'!$B$16</x:f>
        <x:v>1800</x:v>
      </x:c>
      <x:c r="U12" s="68" t="n">
        <x:f>U13*'Inputs'!$B$16</x:f>
        <x:v>1800</x:v>
      </x:c>
      <x:c r="V12" s="68" t="n">
        <x:f>V13*'Inputs'!$B$16</x:f>
        <x:v>1800</x:v>
      </x:c>
    </x:row>
    <x:row r="13" ht="21" customHeight="1">
      <x:c r="A13" s="13" t="str">
        <x:v>Built levels</x:v>
      </x:c>
      <x:c r="B13" s="68" t="n">
        <x:v>0</x:v>
      </x:c>
      <x:c r="C13" s="68" t="n">
        <x:f>'Inputs'!$B$18</x:f>
        <x:v>4</x:v>
      </x:c>
      <x:c r="D13" s="68" t="n">
        <x:f>C13+D11</x:f>
        <x:v>4</x:v>
      </x:c>
      <x:c r="E13" s="68" t="n">
        <x:f>D13+E11</x:f>
        <x:v>4</x:v>
      </x:c>
      <x:c r="F13" s="68" t="n">
        <x:f>E13+F11</x:f>
        <x:v>5</x:v>
      </x:c>
      <x:c r="G13" s="68" t="n">
        <x:f>F13+G11</x:f>
        <x:v>6</x:v>
      </x:c>
      <x:c r="H13" s="68" t="n">
        <x:f>G13+H11</x:f>
        <x:v>7</x:v>
      </x:c>
      <x:c r="I13" s="68" t="n">
        <x:f>H13+I11</x:f>
        <x:v>7</x:v>
      </x:c>
      <x:c r="J13" s="68" t="n">
        <x:f>I13+J11</x:f>
        <x:v>7</x:v>
      </x:c>
      <x:c r="K13" s="68" t="n">
        <x:f>J13+K11</x:f>
        <x:v>7</x:v>
      </x:c>
      <x:c r="L13" s="68" t="n">
        <x:f>K13+L11</x:f>
        <x:v>8</x:v>
      </x:c>
      <x:c r="M13" s="68" t="n">
        <x:f>L13+M11</x:f>
        <x:v>8</x:v>
      </x:c>
      <x:c r="N13" s="68" t="n">
        <x:f>M13+N11</x:f>
        <x:v>8</x:v>
      </x:c>
      <x:c r="O13" s="68" t="n">
        <x:f>N13+O11</x:f>
        <x:v>8</x:v>
      </x:c>
      <x:c r="P13" s="68" t="n">
        <x:f>O13+P11</x:f>
        <x:v>8</x:v>
      </x:c>
      <x:c r="Q13" s="68" t="n">
        <x:f>P13+Q11</x:f>
        <x:v>8</x:v>
      </x:c>
      <x:c r="R13" s="68" t="n">
        <x:f>Q13+R11</x:f>
        <x:v>9</x:v>
      </x:c>
      <x:c r="S13" s="68" t="n">
        <x:f>R13+S11</x:f>
        <x:v>9</x:v>
      </x:c>
      <x:c r="T13" s="68" t="n">
        <x:f>S13+T11</x:f>
        <x:v>9</x:v>
      </x:c>
      <x:c r="U13" s="68" t="n">
        <x:f>T13+U11</x:f>
        <x:v>9</x:v>
      </x:c>
      <x:c r="V13" s="68" t="n">
        <x:f>U13+V11</x:f>
        <x:v>9</x:v>
      </x:c>
    </x:row>
    <x:row r="14" ht="21" customHeight="1">
      <x:c r="A14" s="13" t="str">
        <x:v>Used capacity</x:v>
      </x:c>
      <x:c r="B14" s="68" t="n">
        <x:v>0</x:v>
      </x:c>
      <x:c r="C14" s="68" t="n">
        <x:f>MIN(C10,C12)</x:f>
        <x:v>750</x:v>
      </x:c>
      <x:c r="D14" s="68" t="n">
        <x:f>MIN(D10,D12)</x:f>
        <x:v>800</x:v>
      </x:c>
      <x:c r="E14" s="68" t="n">
        <x:f>MIN(E10,E12)</x:f>
        <x:v>800</x:v>
      </x:c>
      <x:c r="F14" s="68" t="n">
        <x:f>MIN(F10,F12)</x:f>
        <x:v>1000</x:v>
      </x:c>
      <x:c r="G14" s="68" t="n">
        <x:f>MIN(G10,G12)</x:f>
        <x:v>1200</x:v>
      </x:c>
      <x:c r="H14" s="68" t="n">
        <x:f>MIN(H10,H12)</x:f>
        <x:v>1287.0626438563547</x:v>
      </x:c>
      <x:c r="I14" s="68" t="n">
        <x:f>MIN(I10,I12)</x:f>
        <x:v>1353.14973700795</x:v>
      </x:c>
      <x:c r="J14" s="68" t="n">
        <x:f>MIN(J10,J12)</x:f>
        <x:v>1400</x:v>
      </x:c>
      <x:c r="K14" s="68" t="n">
        <x:f>MIN(K10,K12)</x:f>
        <x:v>1400</x:v>
      </x:c>
      <x:c r="L14" s="68" t="n">
        <x:f>MIN(L10,L12)</x:f>
        <x:v>1500</x:v>
      </x:c>
      <x:c r="M14" s="68" t="n">
        <x:f>MIN(M10,M12)</x:f>
        <x:v>1535.6890042867317</x:v>
      </x:c>
      <x:c r="N14" s="68" t="n">
        <x:f>MIN(N10,N12)</x:f>
        <x:v>1566.2831884655502</x:v>
      </x:c>
      <x:c r="O14" s="68" t="n">
        <x:f>MIN(O10,O12)</x:f>
        <x:v>1592.509868763141</x:v>
      </x:c>
      <x:c r="P14" s="68" t="n">
        <x:f>MIN(P10,P12)</x:f>
        <x:v>1600</x:v>
      </x:c>
      <x:c r="Q14" s="68" t="n">
        <x:f>MIN(Q10,Q12)</x:f>
        <x:v>1600</x:v>
      </x:c>
      <x:c r="R14" s="68" t="n">
        <x:f>MIN(R10,R12)</x:f>
        <x:v>1650.7874342519876</x:v>
      </x:c>
      <x:c r="S14" s="68" t="n">
        <x:f>MIN(S10,S12)</x:f>
        <x:v>1664.9506249891015</x:v>
      </x:c>
      <x:c r="T14" s="68" t="n">
        <x:f>MIN(T10,T12)</x:f>
        <x:v>1677.0919350264926</x:v>
      </x:c>
      <x:c r="U14" s="68" t="n">
        <x:f>MIN(U10,U12)</x:f>
        <x:v>1687.5</x:v>
      </x:c>
      <x:c r="V14" s="68" t="n">
        <x:f>MIN(V10,V12)</x:f>
        <x:v>1696.422251071683</x:v>
      </x:c>
    </x:row>
    <x:row r="15" ht="21" customHeight="1">
      <x:c r="A15" s="13" t="str"/>
      <x:c r="B15" s="25"/>
      <x:c r="C15" s="25"/>
      <x:c r="D15" s="25"/>
      <x:c r="E15" s="25"/>
      <x:c r="F15" s="25"/>
      <x:c r="G15" s="25"/>
      <x:c r="H15" s="25"/>
      <x:c r="I15" s="25"/>
      <x:c r="J15" s="25"/>
      <x:c r="K15" s="25"/>
      <x:c r="L15" s="25"/>
      <x:c r="M15" s="25"/>
      <x:c r="N15" s="25"/>
      <x:c r="O15" s="25"/>
      <x:c r="P15" s="25"/>
      <x:c r="Q15" s="25"/>
      <x:c r="R15" s="25"/>
      <x:c r="S15" s="25"/>
      <x:c r="T15" s="25"/>
      <x:c r="U15" s="25"/>
      <x:c r="V15" s="25"/>
    </x:row>
    <x:row r="16" ht="21" customHeight="1">
      <x:c r="A16" s="13" t="str">
        <x:v>Revenue</x:v>
      </x:c>
      <x:c r="B16" s="60" t="n">
        <x:v>0</x:v>
      </x:c>
      <x:c r="C16" s="60" t="n">
        <x:f>C14*'Inputs'!$B$10</x:f>
        <x:v>7500000</x:v>
      </x:c>
      <x:c r="D16" s="60" t="n">
        <x:f>D14*'Inputs'!$B$10</x:f>
        <x:v>8000000</x:v>
      </x:c>
      <x:c r="E16" s="60" t="n">
        <x:f>E14*'Inputs'!$B$10</x:f>
        <x:v>8000000</x:v>
      </x:c>
      <x:c r="F16" s="60" t="n">
        <x:f>F14*'Inputs'!$B$10</x:f>
        <x:v>10000000</x:v>
      </x:c>
      <x:c r="G16" s="60" t="n">
        <x:f>G14*'Inputs'!$B$10</x:f>
        <x:v>12000000</x:v>
      </x:c>
      <x:c r="H16" s="60" t="n">
        <x:f>H14*'Inputs'!$B$10</x:f>
        <x:v>12870626.438563548</x:v>
      </x:c>
      <x:c r="I16" s="60" t="n">
        <x:f>I14*'Inputs'!$B$10</x:f>
        <x:v>13531497.3700795</x:v>
      </x:c>
      <x:c r="J16" s="60" t="n">
        <x:f>J14*'Inputs'!$B$10</x:f>
        <x:v>14000000</x:v>
      </x:c>
      <x:c r="K16" s="60" t="n">
        <x:f>K14*'Inputs'!$B$10</x:f>
        <x:v>14000000</x:v>
      </x:c>
      <x:c r="L16" s="60" t="n">
        <x:f>L14*'Inputs'!$B$10</x:f>
        <x:v>15000000</x:v>
      </x:c>
      <x:c r="M16" s="60" t="n">
        <x:f>M14*'Inputs'!$B$10</x:f>
        <x:v>15356890.042867318</x:v>
      </x:c>
      <x:c r="N16" s="60" t="n">
        <x:f>N14*'Inputs'!$B$10</x:f>
        <x:v>15662831.884655502</x:v>
      </x:c>
      <x:c r="O16" s="60" t="n">
        <x:f>O14*'Inputs'!$B$10</x:f>
        <x:v>15925098.68763141</x:v>
      </x:c>
      <x:c r="P16" s="60" t="n">
        <x:f>P14*'Inputs'!$B$10</x:f>
        <x:v>16000000</x:v>
      </x:c>
      <x:c r="Q16" s="60" t="n">
        <x:f>Q14*'Inputs'!$B$10</x:f>
        <x:v>16000000</x:v>
      </x:c>
      <x:c r="R16" s="60" t="n">
        <x:f>R14*'Inputs'!$B$10</x:f>
        <x:v>16507874.342519876</x:v>
      </x:c>
      <x:c r="S16" s="60" t="n">
        <x:f>S14*'Inputs'!$B$10</x:f>
        <x:v>16649506.249891015</x:v>
      </x:c>
      <x:c r="T16" s="60" t="n">
        <x:f>T14*'Inputs'!$B$10</x:f>
        <x:v>16770919.350264926</x:v>
      </x:c>
      <x:c r="U16" s="60" t="n">
        <x:f>U14*'Inputs'!$B$10</x:f>
        <x:v>16875000</x:v>
      </x:c>
      <x:c r="V16" s="60" t="n">
        <x:f>V14*'Inputs'!$B$10</x:f>
        <x:v>16964222.51071683</x:v>
      </x:c>
    </x:row>
    <x:row r="17" ht="21" customHeight="1">
      <x:c r="A17" s="13" t="str">
        <x:v>Operating cost</x:v>
      </x:c>
      <x:c r="B17" s="60" t="n">
        <x:v>0</x:v>
      </x:c>
      <x:c r="C17" s="60" t="n">
        <x:f>-C12*'Inputs'!$B$11</x:f>
        <x:v>-1600000</x:v>
      </x:c>
      <x:c r="D17" s="60" t="n">
        <x:f>-D12*'Inputs'!$B$11</x:f>
        <x:v>-1600000</x:v>
      </x:c>
      <x:c r="E17" s="60" t="n">
        <x:f>-E12*'Inputs'!$B$11</x:f>
        <x:v>-1600000</x:v>
      </x:c>
      <x:c r="F17" s="60" t="n">
        <x:f>-F12*'Inputs'!$B$11</x:f>
        <x:v>-2000000</x:v>
      </x:c>
      <x:c r="G17" s="60" t="n">
        <x:f>-G12*'Inputs'!$B$11</x:f>
        <x:v>-2400000</x:v>
      </x:c>
      <x:c r="H17" s="60" t="n">
        <x:f>-H12*'Inputs'!$B$11</x:f>
        <x:v>-2800000</x:v>
      </x:c>
      <x:c r="I17" s="60" t="n">
        <x:f>-I12*'Inputs'!$B$11</x:f>
        <x:v>-2800000</x:v>
      </x:c>
      <x:c r="J17" s="60" t="n">
        <x:f>-J12*'Inputs'!$B$11</x:f>
        <x:v>-2800000</x:v>
      </x:c>
      <x:c r="K17" s="60" t="n">
        <x:f>-K12*'Inputs'!$B$11</x:f>
        <x:v>-2800000</x:v>
      </x:c>
      <x:c r="L17" s="60" t="n">
        <x:f>-L12*'Inputs'!$B$11</x:f>
        <x:v>-3200000</x:v>
      </x:c>
      <x:c r="M17" s="60" t="n">
        <x:f>-M12*'Inputs'!$B$11</x:f>
        <x:v>-3200000</x:v>
      </x:c>
      <x:c r="N17" s="60" t="n">
        <x:f>-N12*'Inputs'!$B$11</x:f>
        <x:v>-3200000</x:v>
      </x:c>
      <x:c r="O17" s="60" t="n">
        <x:f>-O12*'Inputs'!$B$11</x:f>
        <x:v>-3200000</x:v>
      </x:c>
      <x:c r="P17" s="60" t="n">
        <x:f>-P12*'Inputs'!$B$11</x:f>
        <x:v>-3200000</x:v>
      </x:c>
      <x:c r="Q17" s="60" t="n">
        <x:f>-Q12*'Inputs'!$B$11</x:f>
        <x:v>-3200000</x:v>
      </x:c>
      <x:c r="R17" s="60" t="n">
        <x:f>-R12*'Inputs'!$B$11</x:f>
        <x:v>-3600000</x:v>
      </x:c>
      <x:c r="S17" s="60" t="n">
        <x:f>-S12*'Inputs'!$B$11</x:f>
        <x:v>-3600000</x:v>
      </x:c>
      <x:c r="T17" s="60" t="n">
        <x:f>-T12*'Inputs'!$B$11</x:f>
        <x:v>-3600000</x:v>
      </x:c>
      <x:c r="U17" s="60" t="n">
        <x:f>-U12*'Inputs'!$B$11</x:f>
        <x:v>-3600000</x:v>
      </x:c>
      <x:c r="V17" s="60" t="n">
        <x:f>-V12*'Inputs'!$B$11</x:f>
        <x:v>-3600000</x:v>
      </x:c>
    </x:row>
    <x:row r="18" ht="21" customHeight="1">
      <x:c r="A18" s="13" t="str">
        <x:v>Fixed land cost</x:v>
      </x:c>
      <x:c r="B18" s="60" t="n">
        <x:v>0</x:v>
      </x:c>
      <x:c r="C18" s="60" t="n">
        <x:f>-'Inputs'!$B$12</x:f>
        <x:v>-3600000</x:v>
      </x:c>
      <x:c r="D18" s="60" t="n">
        <x:f>-'Inputs'!$B$12</x:f>
        <x:v>-3600000</x:v>
      </x:c>
      <x:c r="E18" s="60" t="n">
        <x:f>-'Inputs'!$B$12</x:f>
        <x:v>-3600000</x:v>
      </x:c>
      <x:c r="F18" s="60" t="n">
        <x:f>-'Inputs'!$B$12</x:f>
        <x:v>-3600000</x:v>
      </x:c>
      <x:c r="G18" s="60" t="n">
        <x:f>-'Inputs'!$B$12</x:f>
        <x:v>-3600000</x:v>
      </x:c>
      <x:c r="H18" s="60" t="n">
        <x:f>-'Inputs'!$B$12</x:f>
        <x:v>-3600000</x:v>
      </x:c>
      <x:c r="I18" s="60" t="n">
        <x:f>-'Inputs'!$B$12</x:f>
        <x:v>-3600000</x:v>
      </x:c>
      <x:c r="J18" s="60" t="n">
        <x:f>-'Inputs'!$B$12</x:f>
        <x:v>-3600000</x:v>
      </x:c>
      <x:c r="K18" s="60" t="n">
        <x:f>-'Inputs'!$B$12</x:f>
        <x:v>-3600000</x:v>
      </x:c>
      <x:c r="L18" s="60" t="n">
        <x:f>-'Inputs'!$B$12</x:f>
        <x:v>-3600000</x:v>
      </x:c>
      <x:c r="M18" s="60" t="n">
        <x:f>-'Inputs'!$B$12</x:f>
        <x:v>-3600000</x:v>
      </x:c>
      <x:c r="N18" s="60" t="n">
        <x:f>-'Inputs'!$B$12</x:f>
        <x:v>-3600000</x:v>
      </x:c>
      <x:c r="O18" s="60" t="n">
        <x:f>-'Inputs'!$B$12</x:f>
        <x:v>-3600000</x:v>
      </x:c>
      <x:c r="P18" s="60" t="n">
        <x:f>-'Inputs'!$B$12</x:f>
        <x:v>-3600000</x:v>
      </x:c>
      <x:c r="Q18" s="60" t="n">
        <x:f>-'Inputs'!$B$12</x:f>
        <x:v>-3600000</x:v>
      </x:c>
      <x:c r="R18" s="60" t="n">
        <x:f>-'Inputs'!$B$12</x:f>
        <x:v>-3600000</x:v>
      </x:c>
      <x:c r="S18" s="60" t="n">
        <x:f>-'Inputs'!$B$12</x:f>
        <x:v>-3600000</x:v>
      </x:c>
      <x:c r="T18" s="60" t="n">
        <x:f>-'Inputs'!$B$12</x:f>
        <x:v>-3600000</x:v>
      </x:c>
      <x:c r="U18" s="60" t="n">
        <x:f>-'Inputs'!$B$12</x:f>
        <x:v>-3600000</x:v>
      </x:c>
      <x:c r="V18" s="60" t="n">
        <x:f>-'Inputs'!$B$12</x:f>
        <x:v>-3600000</x:v>
      </x:c>
    </x:row>
    <x:row r="19" ht="21" customHeight="1">
      <x:c r="A19" s="13" t="str">
        <x:v>Construction / expansion cost</x:v>
      </x:c>
      <x:c r="B19" s="60" t="n">
        <x:f>-SUMIF('Inputs'!$H$6:$H$14,"&lt;="&amp;'Inputs'!$B$18,'Inputs'!$I$6:$I$14)*(1+'Inputs'!$B$25)</x:f>
        <x:v>-14481600</x:v>
      </x:c>
      <x:c r="C19" s="60" t="n">
        <x:v>0</x:v>
      </x:c>
      <x:c r="D19" s="60" t="n">
        <x:f>-(SUMIF('Inputs'!$H$6:$H$14,"&lt;="&amp;D13,'Inputs'!$I$6:$I$14)-SUMIF('Inputs'!$H$6:$H$14,"&lt;="&amp;C13,'Inputs'!$I$6:$I$14))</x:f>
        <x:v>0</x:v>
      </x:c>
      <x:c r="E19" s="60" t="n">
        <x:f>-(SUMIF('Inputs'!$H$6:$H$14,"&lt;="&amp;E13,'Inputs'!$I$6:$I$14)-SUMIF('Inputs'!$H$6:$H$14,"&lt;="&amp;D13,'Inputs'!$I$6:$I$14))</x:f>
        <x:v>0</x:v>
      </x:c>
      <x:c r="F19" s="60" t="n">
        <x:f>-(SUMIF('Inputs'!$H$6:$H$14,"&lt;="&amp;F13,'Inputs'!$I$6:$I$14)-SUMIF('Inputs'!$H$6:$H$14,"&lt;="&amp;E13,'Inputs'!$I$6:$I$14))</x:f>
        <x:v>-4259200</x:v>
      </x:c>
      <x:c r="G19" s="60" t="n">
        <x:f>-(SUMIF('Inputs'!$H$6:$H$14,"&lt;="&amp;G13,'Inputs'!$I$6:$I$14)-SUMIF('Inputs'!$H$6:$H$14,"&lt;="&amp;F13,'Inputs'!$I$6:$I$14))</x:f>
        <x:v>-4685120</x:v>
      </x:c>
      <x:c r="H19" s="60" t="n">
        <x:f>-(SUMIF('Inputs'!$H$6:$H$14,"&lt;="&amp;H13,'Inputs'!$I$6:$I$14)-SUMIF('Inputs'!$H$6:$H$14,"&lt;="&amp;G13,'Inputs'!$I$6:$I$14))</x:f>
        <x:v>-5153632</x:v>
      </x:c>
      <x:c r="I19" s="60" t="n">
        <x:f>-(SUMIF('Inputs'!$H$6:$H$14,"&lt;="&amp;I13,'Inputs'!$I$6:$I$14)-SUMIF('Inputs'!$H$6:$H$14,"&lt;="&amp;H13,'Inputs'!$I$6:$I$14))</x:f>
        <x:v>0</x:v>
      </x:c>
      <x:c r="J19" s="60" t="n">
        <x:f>-(SUMIF('Inputs'!$H$6:$H$14,"&lt;="&amp;J13,'Inputs'!$I$6:$I$14)-SUMIF('Inputs'!$H$6:$H$14,"&lt;="&amp;I13,'Inputs'!$I$6:$I$14))</x:f>
        <x:v>0</x:v>
      </x:c>
      <x:c r="K19" s="60" t="n">
        <x:f>-(SUMIF('Inputs'!$H$6:$H$14,"&lt;="&amp;K13,'Inputs'!$I$6:$I$14)-SUMIF('Inputs'!$H$6:$H$14,"&lt;="&amp;J13,'Inputs'!$I$6:$I$14))</x:f>
        <x:v>0</x:v>
      </x:c>
      <x:c r="L19" s="60" t="n">
        <x:f>-(SUMIF('Inputs'!$H$6:$H$14,"&lt;="&amp;L13,'Inputs'!$I$6:$I$14)-SUMIF('Inputs'!$H$6:$H$14,"&lt;="&amp;K13,'Inputs'!$I$6:$I$14))</x:f>
        <x:v>-5668995.200000003</x:v>
      </x:c>
      <x:c r="M19" s="60" t="n">
        <x:f>-(SUMIF('Inputs'!$H$6:$H$14,"&lt;="&amp;M13,'Inputs'!$I$6:$I$14)-SUMIF('Inputs'!$H$6:$H$14,"&lt;="&amp;L13,'Inputs'!$I$6:$I$14))</x:f>
        <x:v>0</x:v>
      </x:c>
      <x:c r="N19" s="60" t="n">
        <x:f>-(SUMIF('Inputs'!$H$6:$H$14,"&lt;="&amp;N13,'Inputs'!$I$6:$I$14)-SUMIF('Inputs'!$H$6:$H$14,"&lt;="&amp;M13,'Inputs'!$I$6:$I$14))</x:f>
        <x:v>0</x:v>
      </x:c>
      <x:c r="O19" s="60" t="n">
        <x:f>-(SUMIF('Inputs'!$H$6:$H$14,"&lt;="&amp;O13,'Inputs'!$I$6:$I$14)-SUMIF('Inputs'!$H$6:$H$14,"&lt;="&amp;N13,'Inputs'!$I$6:$I$14))</x:f>
        <x:v>0</x:v>
      </x:c>
      <x:c r="P19" s="60" t="n">
        <x:f>-(SUMIF('Inputs'!$H$6:$H$14,"&lt;="&amp;P13,'Inputs'!$I$6:$I$14)-SUMIF('Inputs'!$H$6:$H$14,"&lt;="&amp;O13,'Inputs'!$I$6:$I$14))</x:f>
        <x:v>0</x:v>
      </x:c>
      <x:c r="Q19" s="60" t="n">
        <x:f>-(SUMIF('Inputs'!$H$6:$H$14,"&lt;="&amp;Q13,'Inputs'!$I$6:$I$14)-SUMIF('Inputs'!$H$6:$H$14,"&lt;="&amp;P13,'Inputs'!$I$6:$I$14))</x:f>
        <x:v>0</x:v>
      </x:c>
      <x:c r="R19" s="60" t="n">
        <x:f>-(SUMIF('Inputs'!$H$6:$H$14,"&lt;="&amp;R13,'Inputs'!$I$6:$I$14)-SUMIF('Inputs'!$H$6:$H$14,"&lt;="&amp;Q13,'Inputs'!$I$6:$I$14))</x:f>
        <x:v>-6235894.720000006</x:v>
      </x:c>
      <x:c r="S19" s="60" t="n">
        <x:f>-(SUMIF('Inputs'!$H$6:$H$14,"&lt;="&amp;S13,'Inputs'!$I$6:$I$14)-SUMIF('Inputs'!$H$6:$H$14,"&lt;="&amp;R13,'Inputs'!$I$6:$I$14))</x:f>
        <x:v>0</x:v>
      </x:c>
      <x:c r="T19" s="60" t="n">
        <x:f>-(SUMIF('Inputs'!$H$6:$H$14,"&lt;="&amp;T13,'Inputs'!$I$6:$I$14)-SUMIF('Inputs'!$H$6:$H$14,"&lt;="&amp;S13,'Inputs'!$I$6:$I$14))</x:f>
        <x:v>0</x:v>
      </x:c>
      <x:c r="U19" s="60" t="n">
        <x:f>-(SUMIF('Inputs'!$H$6:$H$14,"&lt;="&amp;U13,'Inputs'!$I$6:$I$14)-SUMIF('Inputs'!$H$6:$H$14,"&lt;="&amp;T13,'Inputs'!$I$6:$I$14))</x:f>
        <x:v>0</x:v>
      </x:c>
      <x:c r="V19" s="60" t="n">
        <x:f>-(SUMIF('Inputs'!$H$6:$H$14,"&lt;="&amp;V13,'Inputs'!$I$6:$I$14)-SUMIF('Inputs'!$H$6:$H$14,"&lt;="&amp;U13,'Inputs'!$I$6:$I$14))</x:f>
        <x:v>0</x:v>
      </x:c>
    </x:row>
    <x:row r="20" ht="21" customHeight="1">
      <x:c r="A20" s="13" t="str"/>
      <x:c r="B20" s="60"/>
      <x:c r="C20" s="60"/>
      <x:c r="D20" s="60"/>
      <x:c r="E20" s="60"/>
      <x:c r="F20" s="60"/>
      <x:c r="G20" s="60"/>
      <x:c r="H20" s="60"/>
      <x:c r="I20" s="60"/>
      <x:c r="J20" s="60"/>
      <x:c r="K20" s="60"/>
      <x:c r="L20" s="60"/>
      <x:c r="M20" s="60"/>
      <x:c r="N20" s="60"/>
      <x:c r="O20" s="60"/>
      <x:c r="P20" s="60"/>
      <x:c r="Q20" s="60"/>
      <x:c r="R20" s="60"/>
      <x:c r="S20" s="60"/>
      <x:c r="T20" s="60"/>
      <x:c r="U20" s="60"/>
      <x:c r="V20" s="60"/>
    </x:row>
    <x:row r="21" ht="21" customHeight="1">
      <x:c r="A21" s="13" t="str">
        <x:v>Net cash flow</x:v>
      </x:c>
      <x:c r="B21" s="60" t="n">
        <x:f>SUM(B16:B19)</x:f>
        <x:v>-14481600</x:v>
      </x:c>
      <x:c r="C21" s="60" t="n">
        <x:f>SUM(C16:C19)</x:f>
        <x:v>2300000</x:v>
      </x:c>
      <x:c r="D21" s="60" t="n">
        <x:f>SUM(D16:D19)</x:f>
        <x:v>2800000</x:v>
      </x:c>
      <x:c r="E21" s="60" t="n">
        <x:f>SUM(E16:E19)</x:f>
        <x:v>2800000</x:v>
      </x:c>
      <x:c r="F21" s="60" t="n">
        <x:f>SUM(F16:F19)</x:f>
        <x:v>140800</x:v>
      </x:c>
      <x:c r="G21" s="60" t="n">
        <x:f>SUM(G16:G19)</x:f>
        <x:v>1314880</x:v>
      </x:c>
      <x:c r="H21" s="60" t="n">
        <x:f>SUM(H16:H19)</x:f>
        <x:v>1316994.438563548</x:v>
      </x:c>
      <x:c r="I21" s="60" t="n">
        <x:f>SUM(I16:I19)</x:f>
        <x:v>7131497.370079501</x:v>
      </x:c>
      <x:c r="J21" s="60" t="n">
        <x:f>SUM(J16:J19)</x:f>
        <x:v>7600000</x:v>
      </x:c>
      <x:c r="K21" s="60" t="n">
        <x:f>SUM(K16:K19)</x:f>
        <x:v>7600000</x:v>
      </x:c>
      <x:c r="L21" s="60" t="n">
        <x:f>SUM(L16:L19)</x:f>
        <x:v>2531004.799999997</x:v>
      </x:c>
      <x:c r="M21" s="60" t="n">
        <x:f>SUM(M16:M19)</x:f>
        <x:v>8556890.042867318</x:v>
      </x:c>
      <x:c r="N21" s="60" t="n">
        <x:f>SUM(N16:N19)</x:f>
        <x:v>8862831.884655502</x:v>
      </x:c>
      <x:c r="O21" s="60" t="n">
        <x:f>SUM(O16:O19)</x:f>
        <x:v>9125098.68763141</x:v>
      </x:c>
      <x:c r="P21" s="60" t="n">
        <x:f>SUM(P16:P19)</x:f>
        <x:v>9200000</x:v>
      </x:c>
      <x:c r="Q21" s="60" t="n">
        <x:f>SUM(Q16:Q19)</x:f>
        <x:v>9200000</x:v>
      </x:c>
      <x:c r="R21" s="60" t="n">
        <x:f>SUM(R16:R19)</x:f>
        <x:v>3071979.6225198694</x:v>
      </x:c>
      <x:c r="S21" s="60" t="n">
        <x:f>SUM(S16:S19)</x:f>
        <x:v>9449506.249891015</x:v>
      </x:c>
      <x:c r="T21" s="60" t="n">
        <x:f>SUM(T16:T19)</x:f>
        <x:v>9570919.350264926</x:v>
      </x:c>
      <x:c r="U21" s="60" t="n">
        <x:f>SUM(U16:U19)</x:f>
        <x:v>9675000</x:v>
      </x:c>
      <x:c r="V21" s="60" t="n">
        <x:f>SUM(V16:V19)</x:f>
        <x:v>9764222.51071683</x:v>
      </x:c>
    </x:row>
    <x:row r="22" ht="21" customHeight="1">
      <x:c r="A22" s="13" t="str">
        <x:v>Discount factor</x:v>
      </x:c>
      <x:c r="B22" s="69" t="n">
        <x:v>1</x:v>
      </x:c>
      <x:c r="C22" s="69" t="n">
        <x:f>1/(1+'Inputs'!$B$22)^C$8</x:f>
        <x:v>0.8928571428571428</x:v>
      </x:c>
      <x:c r="D22" s="69" t="n">
        <x:f>1/(1+'Inputs'!$B$22)^D$8</x:f>
        <x:v>0.7971938775510203</x:v>
      </x:c>
      <x:c r="E22" s="69" t="n">
        <x:f>1/(1+'Inputs'!$B$22)^E$8</x:f>
        <x:v>0.7117802478134109</x:v>
      </x:c>
      <x:c r="F22" s="69" t="n">
        <x:f>1/(1+'Inputs'!$B$22)^F$8</x:f>
        <x:v>0.6355180784048311</x:v>
      </x:c>
      <x:c r="G22" s="69" t="n">
        <x:f>1/(1+'Inputs'!$B$22)^G$8</x:f>
        <x:v>0.5674268557185992</x:v>
      </x:c>
      <x:c r="H22" s="69" t="n">
        <x:f>1/(1+'Inputs'!$B$22)^H$8</x:f>
        <x:v>0.5066311211773206</x:v>
      </x:c>
      <x:c r="I22" s="69" t="n">
        <x:f>1/(1+'Inputs'!$B$22)^I$8</x:f>
        <x:v>0.4523492153368934</x:v>
      </x:c>
      <x:c r="J22" s="69" t="n">
        <x:f>1/(1+'Inputs'!$B$22)^J$8</x:f>
        <x:v>0.40388322797936904</x:v>
      </x:c>
      <x:c r="K22" s="69" t="n">
        <x:f>1/(1+'Inputs'!$B$22)^K$8</x:f>
        <x:v>0.36061002498157946</x:v>
      </x:c>
      <x:c r="L22" s="69" t="n">
        <x:f>1/(1+'Inputs'!$B$22)^L$8</x:f>
        <x:v>0.32197323659069593</x:v>
      </x:c>
      <x:c r="M22" s="69" t="n">
        <x:f>1/(1+'Inputs'!$B$22)^M$8</x:f>
        <x:v>0.2874761040988356</x:v>
      </x:c>
      <x:c r="N22" s="69" t="n">
        <x:f>1/(1+'Inputs'!$B$22)^N$8</x:f>
        <x:v>0.25667509294538887</x:v>
      </x:c>
      <x:c r="O22" s="69" t="n">
        <x:f>1/(1+'Inputs'!$B$22)^O$8</x:f>
        <x:v>0.2291741901298115</x:v>
      </x:c>
      <x:c r="P22" s="69" t="n">
        <x:f>1/(1+'Inputs'!$B$22)^P$8</x:f>
        <x:v>0.20461981261590312</x:v>
      </x:c>
      <x:c r="Q22" s="69" t="n">
        <x:f>1/(1+'Inputs'!$B$22)^Q$8</x:f>
        <x:v>0.1826962612641992</x:v>
      </x:c>
      <x:c r="R22" s="69" t="n">
        <x:f>1/(1+'Inputs'!$B$22)^R$8</x:f>
        <x:v>0.16312166184303498</x:v>
      </x:c>
      <x:c r="S22" s="69" t="n">
        <x:f>1/(1+'Inputs'!$B$22)^S$8</x:f>
        <x:v>0.14564434093128123</x:v>
      </x:c>
      <x:c r="T22" s="69" t="n">
        <x:f>1/(1+'Inputs'!$B$22)^T$8</x:f>
        <x:v>0.13003959011721536</x:v>
      </x:c>
      <x:c r="U22" s="69" t="n">
        <x:f>1/(1+'Inputs'!$B$22)^U$8</x:f>
        <x:v>0.11610677689037084</x:v>
      </x:c>
      <x:c r="V22" s="69" t="n">
        <x:f>1/(1+'Inputs'!$B$22)^V$8</x:f>
        <x:v>0.10366676508068824</x:v>
      </x:c>
    </x:row>
    <x:row r="23" ht="21" customHeight="1">
      <x:c r="A23" s="13" t="str">
        <x:v>Present value</x:v>
      </x:c>
      <x:c r="B23" s="60" t="n">
        <x:f>B21*B22</x:f>
        <x:v>-14481600</x:v>
      </x:c>
      <x:c r="C23" s="60" t="n">
        <x:f>C21*C22</x:f>
        <x:v>2053571.4285714284</x:v>
      </x:c>
      <x:c r="D23" s="60" t="n">
        <x:f>D21*D22</x:f>
        <x:v>2232142.857142857</x:v>
      </x:c>
      <x:c r="E23" s="60" t="n">
        <x:f>E21*E22</x:f>
        <x:v>1992984.6938775505</x:v>
      </x:c>
      <x:c r="F23" s="60" t="n">
        <x:f>F21*F22</x:f>
        <x:v>89480.94543940022</x:v>
      </x:c>
      <x:c r="G23" s="60" t="n">
        <x:f>G21*G22</x:f>
        <x:v>746098.2240472717</x:v>
      </x:c>
      <x:c r="H23" s="60" t="n">
        <x:f>H21*H22</x:f>
        <x:v>667230.3689937461</x:v>
      </x:c>
      <x:c r="I23" s="60" t="n">
        <x:f>I21*I22</x:f>
        <x:v>3225927.2395325806</x:v>
      </x:c>
      <x:c r="J23" s="60" t="n">
        <x:f>J21*J22</x:f>
        <x:v>3069512.5326432046</x:v>
      </x:c>
      <x:c r="K23" s="60" t="n">
        <x:f>K21*K22</x:f>
        <x:v>2740636.189860004</x:v>
      </x:c>
      <x:c r="L23" s="60" t="n">
        <x:f>L21*L22</x:f>
        <x:v>814915.8072825861</x:v>
      </x:c>
      <x:c r="M23" s="60" t="n">
        <x:f>M21*M22</x:f>
        <x:v>2459901.412725615</x:v>
      </x:c>
      <x:c r="N23" s="60" t="n">
        <x:f>N21*N22</x:f>
        <x:v>2274868.197753307</x:v>
      </x:c>
      <x:c r="O23" s="60" t="n">
        <x:f>O21*O22</x:f>
        <x:v>2091237.101592534</x:v>
      </x:c>
      <x:c r="P23" s="60" t="n">
        <x:f>P21*P22</x:f>
        <x:v>1882502.2760663086</x:v>
      </x:c>
      <x:c r="Q23" s="60" t="n">
        <x:f>Q21*Q22</x:f>
        <x:v>1680805.6036306326</x:v>
      </x:c>
      <x:c r="R23" s="60" t="n">
        <x:f>R21*R22</x:f>
        <x:v>501106.42117338034</x:v>
      </x:c>
      <x:c r="S23" s="60" t="n">
        <x:f>S21*S22</x:f>
        <x:v>1376267.1098913997</x:v>
      </x:c>
      <x:c r="T23" s="60" t="n">
        <x:f>T21*T22</x:f>
        <x:v>1244598.4293533762</x:v>
      </x:c>
      <x:c r="U23" s="60" t="n">
        <x:f>U21*U22</x:f>
        <x:v>1123333.0664143378</x:v>
      </x:c>
      <x:c r="V23" s="60" t="n">
        <x:f>V21*V22</x:f>
        <x:v>1012225.3612140495</x:v>
      </x:c>
    </x:row>
    <x:row r="24" ht="21" customHeight="1"/>
    <x:row r="25" ht="21" customHeight="1">
      <x:c r="A25" s="8" t="str">
        <x:v>Key results</x:v>
      </x:c>
      <x:c r="B25" s="8" t="str">
        <x:v>Key results</x:v>
      </x:c>
      <x:c r="C25" s="8" t="str">
        <x:v>Key results</x:v>
      </x:c>
      <x:c r="D25" s="8" t="str">
        <x:v>Key results</x:v>
      </x:c>
      <x:c r="E25" s="8" t="str">
        <x:v>Key results</x:v>
      </x:c>
      <x:c r="F25" s="8" t="str">
        <x:v>Key results</x:v>
      </x:c>
    </x:row>
    <x:row r="26" ht="21" customHeight="1">
      <x:c r="A26" t="str">
        <x:v>Flexible-design NPV</x:v>
      </x:c>
      <x:c r="B26" s="76" t="n">
        <x:f>SUM(B23:V23)</x:f>
        <x:v>18797745.26720557</x:v>
      </x:c>
    </x:row>
    <x:row r="27" ht="21" customHeight="1">
      <x:c r="A27" t="str">
        <x:v>Number of expansions</x:v>
      </x:c>
      <x:c r="B27" s="74" t="n">
        <x:f>COUNTIF(C11:V11,"&gt;0")</x:f>
        <x:v>5</x:v>
      </x:c>
    </x:row>
    <x:row r="28" ht="21" customHeight="1">
      <x:c r="A28" t="str">
        <x:v>Ending levels</x:v>
      </x:c>
      <x:c r="B28" s="75" t="n">
        <x:f>V13</x:f>
        <x:v>9</x:v>
      </x:c>
    </x:row>
    <x:row r="29" ht="21" customHeight="1"/>
    <x:row r="30" ht="21" customHeight="1"/>
  </x:sheetData>
  <x:mergeCells>
    <x:mergeCell ref="A1:V2"/>
    <x:mergeCell ref="A4:V6"/>
    <x:mergeCell ref="A25:F25"/>
  </x:mergeCells>
  <x:conditionalFormatting sqref="C11:V11">
    <x:cfRule type="cellIs" dxfId="0" priority="1" operator="greaterThan">
      <x:formula>0</x:formula>
    </x:cfRule>
  </x:conditionalFormatting>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25" hidden="0" customWidth="1"/>
    <x:col min="2" max="2" width="20" hidden="0" customWidth="1"/>
    <x:col min="3" max="3" width="20" hidden="0" customWidth="1"/>
    <x:col min="4" max="4" width="20" hidden="0" customWidth="1"/>
    <x:col min="6" max="6" width="26" hidden="0" customWidth="1"/>
    <x:col min="7" max="7" width="22" hidden="0" customWidth="1"/>
    <x:col min="8" max="8" width="22" hidden="0" customWidth="1"/>
    <x:col min="9" max="9" width="22" hidden="0" customWidth="1"/>
    <x:col min="10" max="10" width="30" hidden="0" customWidth="1"/>
  </x:cols>
  <x:sheetData>
    <x:row r="1" ht="34" customHeight="1">
      <x:c r="A1" s="3" t="str">
        <x:v>Compare — fixed commitment versus flexibility</x:v>
      </x:c>
      <x:c r="B1" s="3" t="str">
        <x:v>Compare — fixed commitment versus flexibility</x:v>
      </x:c>
      <x:c r="C1" s="3" t="str">
        <x:v>Compare — fixed commitment versus flexibility</x:v>
      </x:c>
      <x:c r="D1" s="3" t="str">
        <x:v>Compare — fixed commitment versus flexibility</x:v>
      </x:c>
      <x:c r="E1" s="3" t="str">
        <x:v>Compare — fixed commitment versus flexibility</x:v>
      </x:c>
      <x:c r="F1" s="3" t="str">
        <x:v>Compare — fixed commitment versus flexibility</x:v>
      </x:c>
      <x:c r="G1" s="3" t="str">
        <x:v>Compare — fixed commitment versus flexibility</x:v>
      </x:c>
      <x:c r="H1" s="3" t="str">
        <x:v>Compare — fixed commitment versus flexibility</x:v>
      </x:c>
      <x:c r="I1" s="3" t="str">
        <x:v>Compare — fixed commitment versus flexibility</x:v>
      </x:c>
      <x:c r="J1" s="3" t="str">
        <x:v>Compare — fixed commitment versus flexibility</x:v>
      </x:c>
    </x:row>
    <x:row r="2" ht="34" customHeight="1">
      <x:c r="A2" s="3" t="str">
        <x:v>Compare — fixed commitment versus flexibility</x:v>
      </x:c>
      <x:c r="B2" s="3" t="str">
        <x:v>Compare — fixed commitment versus flexibility</x:v>
      </x:c>
      <x:c r="C2" s="3" t="str">
        <x:v>Compare — fixed commitment versus flexibility</x:v>
      </x:c>
      <x:c r="D2" s="3" t="str">
        <x:v>Compare — fixed commitment versus flexibility</x:v>
      </x:c>
      <x:c r="E2" s="3" t="str">
        <x:v>Compare — fixed commitment versus flexibility</x:v>
      </x:c>
      <x:c r="F2" s="3" t="str">
        <x:v>Compare — fixed commitment versus flexibility</x:v>
      </x:c>
      <x:c r="G2" s="3" t="str">
        <x:v>Compare — fixed commitment versus flexibility</x:v>
      </x:c>
      <x:c r="H2" s="3" t="str">
        <x:v>Compare — fixed commitment versus flexibility</x:v>
      </x:c>
      <x:c r="I2" s="3" t="str">
        <x:v>Compare — fixed commitment versus flexibility</x:v>
      </x:c>
      <x:c r="J2" s="3" t="str">
        <x:v>Compare — fixed commitment versus flexibility</x:v>
      </x:c>
    </x:row>
    <x:row r="4" ht="24" customHeight="1">
      <x:c r="A4" s="8" t="str">
        <x:v>Your current scenario</x:v>
      </x:c>
      <x:c r="B4" s="8" t="str">
        <x:v>Your current scenario</x:v>
      </x:c>
      <x:c r="C4" s="8" t="str">
        <x:v>Your current scenario</x:v>
      </x:c>
      <x:c r="D4" s="8" t="str">
        <x:v>Your current scenario</x:v>
      </x:c>
      <x:c r="F4" s="8" t="str">
        <x:v>Published case benchmark (reference only)</x:v>
      </x:c>
      <x:c r="G4" s="8" t="str">
        <x:v>Published case benchmark (reference only)</x:v>
      </x:c>
      <x:c r="H4" s="8" t="str">
        <x:v>Published case benchmark (reference only)</x:v>
      </x:c>
      <x:c r="I4" s="8" t="str">
        <x:v>Published case benchmark (reference only)</x:v>
      </x:c>
      <x:c r="J4" s="8" t="str">
        <x:v>Published case benchmark (reference only)</x:v>
      </x:c>
    </x:row>
    <x:row r="5">
      <x:c r="A5" s="46" t="str">
        <x:v>Metric</x:v>
      </x:c>
      <x:c r="B5" s="46" t="str">
        <x:v>Fixed design</x:v>
      </x:c>
      <x:c r="C5" s="46" t="str">
        <x:v>Flexible design</x:v>
      </x:c>
      <x:c r="D5" s="46" t="str">
        <x:v>Difference / interpretation</x:v>
      </x:c>
      <x:c r="F5" s="46" t="str">
        <x:v>Published metric</x:v>
      </x:c>
      <x:c r="G5" s="46" t="str">
        <x:v>Deterministic / no flexibility</x:v>
      </x:c>
      <x:c r="H5" s="46" t="str">
        <x:v>Recognize uncertainty</x:v>
      </x:c>
      <x:c r="I5" s="46" t="str">
        <x:v>Flexible design</x:v>
      </x:c>
      <x:c r="J5" s="46" t="str">
        <x:v>Teaching point</x:v>
      </x:c>
    </x:row>
    <x:row r="6">
      <x:c r="A6" s="14" t="str">
        <x:v>NPV</x:v>
      </x:c>
      <x:c r="B6" s="79" t="n">
        <x:f>'Scenario Explorer'!B26</x:f>
        <x:v>13789142.24834598</x:v>
      </x:c>
      <x:c r="C6" s="79" t="n">
        <x:f>'Flexible Design'!B26</x:f>
        <x:v>18797745.26720557</x:v>
      </x:c>
      <x:c r="D6" s="83" t="n">
        <x:f>C6-B6</x:f>
        <x:v>5008603.0188595895</x:v>
      </x:c>
      <x:c r="F6" s="14" t="str">
        <x:v>Design</x:v>
      </x:c>
      <x:c r="G6" s="14" t="str">
        <x:v>6 levels</x:v>
      </x:c>
      <x:c r="H6" s="14" t="str">
        <x:v>5 levels</x:v>
      </x:c>
      <x:c r="I6" s="14" t="str">
        <x:v>4 levels + strong columns</x:v>
      </x:c>
      <x:c r="J6" s="15" t="str">
        <x:v>Stage commitment</x:v>
      </x:c>
    </x:row>
    <x:row r="7">
      <x:c r="A7" s="14" t="str">
        <x:v>Initial investment</x:v>
      </x:c>
      <x:c r="B7" s="79" t="n">
        <x:f>-'Scenario Explorer'!B19</x:f>
        <x:v>22736320</x:v>
      </x:c>
      <x:c r="C7" s="79" t="n">
        <x:f>-'Flexible Design'!B19</x:f>
        <x:v>14481600</x:v>
      </x:c>
      <x:c r="D7" s="84" t="n">
        <x:f>C7-B7</x:f>
        <x:v>-8254720</x:v>
      </x:c>
      <x:c r="F7" s="14" t="str">
        <x:v>Expected NPV</x:v>
      </x:c>
      <x:c r="G7" s="78" t="n">
        <x:v>6240000</x:v>
      </x:c>
      <x:c r="H7" s="78" t="n">
        <x:v>2940000</x:v>
      </x:c>
      <x:c r="I7" s="78" t="n">
        <x:v>5120000</x:v>
      </x:c>
      <x:c r="J7" s="15" t="str">
        <x:v>Flexibility recovers value under uncertainty</x:v>
      </x:c>
    </x:row>
    <x:row r="8">
      <x:c r="A8" s="14" t="str">
        <x:v>Starting levels</x:v>
      </x:c>
      <x:c r="B8" s="25" t="n">
        <x:f>'Inputs'!B17</x:f>
        <x:v>6</x:v>
      </x:c>
      <x:c r="C8" s="25" t="n">
        <x:f>'Inputs'!B18</x:f>
        <x:v>4</x:v>
      </x:c>
      <x:c r="D8" s="85" t="n">
        <x:f>C8-B8</x:f>
        <x:v>-2</x:v>
      </x:c>
      <x:c r="F8" s="14" t="str">
        <x:v>Initial investment</x:v>
      </x:c>
      <x:c r="G8" s="78" t="n">
        <x:v>22740000</x:v>
      </x:c>
      <x:c r="H8" s="78"/>
      <x:c r="I8" s="78" t="n">
        <x:v>14480000</x:v>
      </x:c>
      <x:c r="J8" s="15" t="str">
        <x:v>Lower initial exposure</x:v>
      </x:c>
    </x:row>
    <x:row r="9">
      <x:c r="A9" s="14" t="str">
        <x:v>Ending levels</x:v>
      </x:c>
      <x:c r="B9" s="25" t="n">
        <x:f>'Inputs'!B17</x:f>
        <x:v>6</x:v>
      </x:c>
      <x:c r="C9" s="25" t="n">
        <x:f>'Flexible Design'!B28</x:f>
        <x:v>9</x:v>
      </x:c>
      <x:c r="D9" s="85" t="n">
        <x:f>C9-B9</x:f>
        <x:v>3</x:v>
      </x:c>
      <x:c r="F9" s="14" t="str">
        <x:v>Minimum / maximum NPV</x:v>
      </x:c>
      <x:c r="G9" s="14" t="str">
        <x:v>($24.68m) / $13.78m</x:v>
      </x:c>
      <x:c r="H9" s="14"/>
      <x:c r="I9" s="14" t="str">
        <x:v>($12.62m) / $14.80m</x:v>
      </x:c>
      <x:c r="J9" s="15" t="str">
        <x:v>Improved downside; retains upside</x:v>
      </x:c>
    </x:row>
    <x:row r="10">
      <x:c r="A10" s="14" t="str">
        <x:v>Expansion events</x:v>
      </x:c>
      <x:c r="B10" s="25" t="n">
        <x:f>0</x:f>
        <x:v>0</x:v>
      </x:c>
      <x:c r="C10" s="25" t="n">
        <x:f>'Flexible Design'!B27</x:f>
        <x:v>5</x:v>
      </x:c>
      <x:c r="D10" s="86" t="n">
        <x:f>C10-B10</x:f>
        <x:v>5</x:v>
      </x:c>
    </x:row>
    <x:row r="11">
      <x:c r="F11" s="32" t="str">
        <x:v>These published values are a benchmark from the garage case and are not linked to your current inputs. Differences arise from uncertainty modeling, timing conventions, and the original simulation setup. Use them to discuss direction and trade-offs—not as a checksum for this teaching workbook.</x:v>
      </x:c>
      <x:c r="G11" s="33" t="str">
        <x:v>These published values are a benchmark from the garage case and are not linked to your current inputs. Differences arise from uncertainty modeling, timing conventions, and the original simulation setup. Use them to discuss direction and trade-offs—not as a checksum for this teaching workbook.</x:v>
      </x:c>
      <x:c r="H11" s="33" t="str">
        <x:v>These published values are a benchmark from the garage case and are not linked to your current inputs. Differences arise from uncertainty modeling, timing conventions, and the original simulation setup. Use them to discuss direction and trade-offs—not as a checksum for this teaching workbook.</x:v>
      </x:c>
      <x:c r="I11" s="33" t="str">
        <x:v>These published values are a benchmark from the garage case and are not linked to your current inputs. Differences arise from uncertainty modeling, timing conventions, and the original simulation setup. Use them to discuss direction and trade-offs—not as a checksum for this teaching workbook.</x:v>
      </x:c>
      <x:c r="J11" s="34" t="str">
        <x:v>These published values are a benchmark from the garage case and are not linked to your current inputs. Differences arise from uncertainty modeling, timing conventions, and the original simulation setup. Use them to discuss direction and trade-offs—not as a checksum for this teaching workbook.</x:v>
      </x:c>
    </x:row>
    <x:row r="12">
      <x:c r="A12" s="10" t="str">
        <x:v>Decision signal</x:v>
      </x:c>
      <x:c r="B12" s="10"/>
      <x:c r="C12" s="10"/>
      <x:c r="D12" s="10"/>
      <x:c r="F12" s="35" t="str">
        <x:v>These published values are a benchmark from the garage case and are not linked to your current inputs. Differences arise from uncertainty modeling, timing conventions, and the original simulation setup. Use them to discuss direction and trade-offs—not as a checksum for this teaching workbook.</x:v>
      </x:c>
      <x:c r="G12" s="31" t="str">
        <x:v>These published values are a benchmark from the garage case and are not linked to your current inputs. Differences arise from uncertainty modeling, timing conventions, and the original simulation setup. Use them to discuss direction and trade-offs—not as a checksum for this teaching workbook.</x:v>
      </x:c>
      <x:c r="H12" s="31" t="str">
        <x:v>These published values are a benchmark from the garage case and are not linked to your current inputs. Differences arise from uncertainty modeling, timing conventions, and the original simulation setup. Use them to discuss direction and trade-offs—not as a checksum for this teaching workbook.</x:v>
      </x:c>
      <x:c r="I12" s="31" t="str">
        <x:v>These published values are a benchmark from the garage case and are not linked to your current inputs. Differences arise from uncertainty modeling, timing conventions, and the original simulation setup. Use them to discuss direction and trade-offs—not as a checksum for this teaching workbook.</x:v>
      </x:c>
      <x:c r="J12" s="36" t="str">
        <x:v>These published values are a benchmark from the garage case and are not linked to your current inputs. Differences arise from uncertainty modeling, timing conventions, and the original simulation setup. Use them to discuss direction and trade-offs—not as a checksum for this teaching workbook.</x:v>
      </x:c>
    </x:row>
    <x:row r="13">
      <x:c r="A13" s="105" t="str">
        <x:f>IF(D6&gt;0,"For this scenario, staged flexibility adds value.","For this scenario, the fixed design has the higher NPV.")</x:f>
        <x:v>For this scenario, staged flexibility adds value.</x:v>
      </x:c>
      <x:c r="B13" s="106"/>
      <x:c r="C13" s="106"/>
      <x:c r="D13" s="107"/>
      <x:c r="F13" s="35" t="str">
        <x:v>These published values are a benchmark from the garage case and are not linked to your current inputs. Differences arise from uncertainty modeling, timing conventions, and the original simulation setup. Use them to discuss direction and trade-offs—not as a checksum for this teaching workbook.</x:v>
      </x:c>
      <x:c r="G13" s="31" t="str">
        <x:v>These published values are a benchmark from the garage case and are not linked to your current inputs. Differences arise from uncertainty modeling, timing conventions, and the original simulation setup. Use them to discuss direction and trade-offs—not as a checksum for this teaching workbook.</x:v>
      </x:c>
      <x:c r="H13" s="31" t="str">
        <x:v>These published values are a benchmark from the garage case and are not linked to your current inputs. Differences arise from uncertainty modeling, timing conventions, and the original simulation setup. Use them to discuss direction and trade-offs—not as a checksum for this teaching workbook.</x:v>
      </x:c>
      <x:c r="I13" s="31" t="str">
        <x:v>These published values are a benchmark from the garage case and are not linked to your current inputs. Differences arise from uncertainty modeling, timing conventions, and the original simulation setup. Use them to discuss direction and trade-offs—not as a checksum for this teaching workbook.</x:v>
      </x:c>
      <x:c r="J13" s="36" t="str">
        <x:v>These published values are a benchmark from the garage case and are not linked to your current inputs. Differences arise from uncertainty modeling, timing conventions, and the original simulation setup. Use them to discuss direction and trade-offs—not as a checksum for this teaching workbook.</x:v>
      </x:c>
    </x:row>
    <x:row r="14">
      <x:c r="A14" s="108"/>
      <x:c r="B14" s="109"/>
      <x:c r="C14" s="109"/>
      <x:c r="D14" s="110"/>
      <x:c r="F14" s="35" t="str">
        <x:v>These published values are a benchmark from the garage case and are not linked to your current inputs. Differences arise from uncertainty modeling, timing conventions, and the original simulation setup. Use them to discuss direction and trade-offs—not as a checksum for this teaching workbook.</x:v>
      </x:c>
      <x:c r="G14" s="31" t="str">
        <x:v>These published values are a benchmark from the garage case and are not linked to your current inputs. Differences arise from uncertainty modeling, timing conventions, and the original simulation setup. Use them to discuss direction and trade-offs—not as a checksum for this teaching workbook.</x:v>
      </x:c>
      <x:c r="H14" s="31" t="str">
        <x:v>These published values are a benchmark from the garage case and are not linked to your current inputs. Differences arise from uncertainty modeling, timing conventions, and the original simulation setup. Use them to discuss direction and trade-offs—not as a checksum for this teaching workbook.</x:v>
      </x:c>
      <x:c r="I14" s="31" t="str">
        <x:v>These published values are a benchmark from the garage case and are not linked to your current inputs. Differences arise from uncertainty modeling, timing conventions, and the original simulation setup. Use them to discuss direction and trade-offs—not as a checksum for this teaching workbook.</x:v>
      </x:c>
      <x:c r="J14" s="36" t="str">
        <x:v>These published values are a benchmark from the garage case and are not linked to your current inputs. Differences arise from uncertainty modeling, timing conventions, and the original simulation setup. Use them to discuss direction and trade-offs—not as a checksum for this teaching workbook.</x:v>
      </x:c>
    </x:row>
    <x:row r="15">
      <x:c r="A15" s="111"/>
      <x:c r="B15" s="112"/>
      <x:c r="C15" s="112"/>
      <x:c r="D15" s="113"/>
      <x:c r="F15" s="37" t="str">
        <x:v>These published values are a benchmark from the garage case and are not linked to your current inputs. Differences arise from uncertainty modeling, timing conventions, and the original simulation setup. Use them to discuss direction and trade-offs—not as a checksum for this teaching workbook.</x:v>
      </x:c>
      <x:c r="G15" s="38" t="str">
        <x:v>These published values are a benchmark from the garage case and are not linked to your current inputs. Differences arise from uncertainty modeling, timing conventions, and the original simulation setup. Use them to discuss direction and trade-offs—not as a checksum for this teaching workbook.</x:v>
      </x:c>
      <x:c r="H15" s="38" t="str">
        <x:v>These published values are a benchmark from the garage case and are not linked to your current inputs. Differences arise from uncertainty modeling, timing conventions, and the original simulation setup. Use them to discuss direction and trade-offs—not as a checksum for this teaching workbook.</x:v>
      </x:c>
      <x:c r="I15" s="38" t="str">
        <x:v>These published values are a benchmark from the garage case and are not linked to your current inputs. Differences arise from uncertainty modeling, timing conventions, and the original simulation setup. Use them to discuss direction and trade-offs—not as a checksum for this teaching workbook.</x:v>
      </x:c>
      <x:c r="J15" s="39" t="str">
        <x:v>These published values are a benchmark from the garage case and are not linked to your current inputs. Differences arise from uncertainty modeling, timing conventions, and the original simulation setup. Use them to discuss direction and trade-offs—not as a checksum for this teaching workbook.</x:v>
      </x:c>
    </x:row>
  </x:sheetData>
  <x:mergeCells>
    <x:mergeCell ref="A1:J2"/>
    <x:mergeCell ref="A4:D4"/>
    <x:mergeCell ref="A12:D12"/>
    <x:mergeCell ref="A13:D15"/>
    <x:mergeCell ref="F4:J4"/>
    <x:mergeCell ref="F11:J15"/>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7" hidden="0" customWidth="1"/>
    <x:col min="2" max="2" width="14" hidden="0" customWidth="1"/>
    <x:col min="3" max="3" width="14" hidden="0" customWidth="1"/>
    <x:col min="4" max="4" width="14" hidden="0" customWidth="1"/>
    <x:col min="5" max="5" width="14" hidden="0" customWidth="1"/>
    <x:col min="6" max="6" width="9" hidden="0" customWidth="1"/>
    <x:col min="7" max="7" width="9" hidden="0" customWidth="1"/>
    <x:col min="8" max="8" width="9" hidden="0" customWidth="1"/>
    <x:col min="9" max="9" width="9" hidden="0" customWidth="1"/>
    <x:col min="10" max="10" width="9" hidden="0" customWidth="1"/>
    <x:col min="11" max="11" width="9" hidden="0" customWidth="1"/>
    <x:col min="12" max="12" width="9" hidden="0" customWidth="1"/>
    <x:col min="13" max="13" width="9" hidden="0" customWidth="1"/>
    <x:col min="14" max="14" width="9" hidden="0" customWidth="1"/>
    <x:col min="15" max="15" width="9" hidden="0" customWidth="1"/>
    <x:col min="16" max="16" width="9" hidden="0" customWidth="1"/>
    <x:col min="17" max="17" width="9" hidden="0" customWidth="1"/>
    <x:col min="18" max="18" width="9" hidden="0" customWidth="1"/>
    <x:col min="19" max="19" width="9" hidden="0" customWidth="1"/>
    <x:col min="20" max="20" width="9" hidden="0" customWidth="1"/>
    <x:col min="21" max="21" width="9" hidden="0" customWidth="1"/>
    <x:col min="22" max="22" width="9" hidden="0" customWidth="1"/>
    <x:col min="23" max="23" width="9" hidden="0" customWidth="1"/>
    <x:col min="24" max="24" width="9" hidden="0" customWidth="1"/>
    <x:col min="25" max="25" width="9" hidden="0" customWidth="1"/>
    <x:col min="26" max="26" width="18" hidden="0" customWidth="1"/>
    <x:col min="27" max="27" width="18" hidden="0" customWidth="1"/>
  </x:cols>
  <x:sheetData>
    <x:row r="1" ht="34" customHeight="1">
      <x:c r="A1" s="3" t="str">
        <x:v>Scenario Grid — nine transparent demand cases</x:v>
      </x:c>
      <x:c r="B1" s="3" t="str">
        <x:v>Scenario Grid — nine transparent demand cases</x:v>
      </x:c>
      <x:c r="C1" s="3" t="str">
        <x:v>Scenario Grid — nine transparent demand cases</x:v>
      </x:c>
      <x:c r="D1" s="3" t="str">
        <x:v>Scenario Grid — nine transparent demand cases</x:v>
      </x:c>
      <x:c r="E1" s="3" t="str">
        <x:v>Scenario Grid — nine transparent demand cases</x:v>
      </x:c>
      <x:c r="F1" s="3" t="str">
        <x:v>Scenario Grid — nine transparent demand cases</x:v>
      </x:c>
      <x:c r="G1" s="3" t="str">
        <x:v>Scenario Grid — nine transparent demand cases</x:v>
      </x:c>
      <x:c r="H1" s="3" t="str">
        <x:v>Scenario Grid — nine transparent demand cases</x:v>
      </x:c>
      <x:c r="I1" s="3" t="str">
        <x:v>Scenario Grid — nine transparent demand cases</x:v>
      </x:c>
      <x:c r="J1" s="3" t="str">
        <x:v>Scenario Grid — nine transparent demand cases</x:v>
      </x:c>
      <x:c r="K1" s="3" t="str">
        <x:v>Scenario Grid — nine transparent demand cases</x:v>
      </x:c>
      <x:c r="L1" s="3" t="str">
        <x:v>Scenario Grid — nine transparent demand cases</x:v>
      </x:c>
      <x:c r="M1" s="3" t="str">
        <x:v>Scenario Grid — nine transparent demand cases</x:v>
      </x:c>
      <x:c r="N1" s="3" t="str">
        <x:v>Scenario Grid — nine transparent demand cases</x:v>
      </x:c>
      <x:c r="O1" s="3" t="str">
        <x:v>Scenario Grid — nine transparent demand cases</x:v>
      </x:c>
      <x:c r="P1" s="3" t="str">
        <x:v>Scenario Grid — nine transparent demand cases</x:v>
      </x:c>
      <x:c r="Q1" s="3" t="str">
        <x:v>Scenario Grid — nine transparent demand cases</x:v>
      </x:c>
      <x:c r="R1" s="3" t="str">
        <x:v>Scenario Grid — nine transparent demand cases</x:v>
      </x:c>
      <x:c r="S1" s="3" t="str">
        <x:v>Scenario Grid — nine transparent demand cases</x:v>
      </x:c>
      <x:c r="T1" s="3" t="str">
        <x:v>Scenario Grid — nine transparent demand cases</x:v>
      </x:c>
      <x:c r="U1" s="3" t="str">
        <x:v>Scenario Grid — nine transparent demand cases</x:v>
      </x:c>
      <x:c r="V1" s="3" t="str">
        <x:v>Scenario Grid — nine transparent demand cases</x:v>
      </x:c>
      <x:c r="W1" s="3" t="str">
        <x:v>Scenario Grid — nine transparent demand cases</x:v>
      </x:c>
      <x:c r="X1" s="3" t="str">
        <x:v>Scenario Grid — nine transparent demand cases</x:v>
      </x:c>
      <x:c r="Y1" s="3" t="str">
        <x:v>Scenario Grid — nine transparent demand cases</x:v>
      </x:c>
      <x:c r="Z1" s="3" t="str">
        <x:v>Scenario Grid — nine transparent demand cases</x:v>
      </x:c>
      <x:c r="AA1" s="3" t="str">
        <x:v>Scenario Grid — nine transparent demand cases</x:v>
      </x:c>
    </x:row>
    <x:row r="2" ht="34" customHeight="1">
      <x:c r="A2" s="3" t="str">
        <x:v>Scenario Grid — nine transparent demand cases</x:v>
      </x:c>
      <x:c r="B2" s="3" t="str">
        <x:v>Scenario Grid — nine transparent demand cases</x:v>
      </x:c>
      <x:c r="C2" s="3" t="str">
        <x:v>Scenario Grid — nine transparent demand cases</x:v>
      </x:c>
      <x:c r="D2" s="3" t="str">
        <x:v>Scenario Grid — nine transparent demand cases</x:v>
      </x:c>
      <x:c r="E2" s="3" t="str">
        <x:v>Scenario Grid — nine transparent demand cases</x:v>
      </x:c>
      <x:c r="F2" s="3" t="str">
        <x:v>Scenario Grid — nine transparent demand cases</x:v>
      </x:c>
      <x:c r="G2" s="3" t="str">
        <x:v>Scenario Grid — nine transparent demand cases</x:v>
      </x:c>
      <x:c r="H2" s="3" t="str">
        <x:v>Scenario Grid — nine transparent demand cases</x:v>
      </x:c>
      <x:c r="I2" s="3" t="str">
        <x:v>Scenario Grid — nine transparent demand cases</x:v>
      </x:c>
      <x:c r="J2" s="3" t="str">
        <x:v>Scenario Grid — nine transparent demand cases</x:v>
      </x:c>
      <x:c r="K2" s="3" t="str">
        <x:v>Scenario Grid — nine transparent demand cases</x:v>
      </x:c>
      <x:c r="L2" s="3" t="str">
        <x:v>Scenario Grid — nine transparent demand cases</x:v>
      </x:c>
      <x:c r="M2" s="3" t="str">
        <x:v>Scenario Grid — nine transparent demand cases</x:v>
      </x:c>
      <x:c r="N2" s="3" t="str">
        <x:v>Scenario Grid — nine transparent demand cases</x:v>
      </x:c>
      <x:c r="O2" s="3" t="str">
        <x:v>Scenario Grid — nine transparent demand cases</x:v>
      </x:c>
      <x:c r="P2" s="3" t="str">
        <x:v>Scenario Grid — nine transparent demand cases</x:v>
      </x:c>
      <x:c r="Q2" s="3" t="str">
        <x:v>Scenario Grid — nine transparent demand cases</x:v>
      </x:c>
      <x:c r="R2" s="3" t="str">
        <x:v>Scenario Grid — nine transparent demand cases</x:v>
      </x:c>
      <x:c r="S2" s="3" t="str">
        <x:v>Scenario Grid — nine transparent demand cases</x:v>
      </x:c>
      <x:c r="T2" s="3" t="str">
        <x:v>Scenario Grid — nine transparent demand cases</x:v>
      </x:c>
      <x:c r="U2" s="3" t="str">
        <x:v>Scenario Grid — nine transparent demand cases</x:v>
      </x:c>
      <x:c r="V2" s="3" t="str">
        <x:v>Scenario Grid — nine transparent demand cases</x:v>
      </x:c>
      <x:c r="W2" s="3" t="str">
        <x:v>Scenario Grid — nine transparent demand cases</x:v>
      </x:c>
      <x:c r="X2" s="3" t="str">
        <x:v>Scenario Grid — nine transparent demand cases</x:v>
      </x:c>
      <x:c r="Y2" s="3" t="str">
        <x:v>Scenario Grid — nine transparent demand cases</x:v>
      </x:c>
      <x:c r="Z2" s="3" t="str">
        <x:v>Scenario Grid — nine transparent demand cases</x:v>
      </x:c>
      <x:c r="AA2" s="3" t="str">
        <x:v>Scenario Grid — nine transparent demand cases</x:v>
      </x:c>
    </x:row>
    <x:row r="4">
      <x:c r="A4" s="32" t="str">
        <x:v>This is a transparent alternative to a random Monte Carlo run. Each row combines a low, base, or high opening-demand factor with a low, base, or high growth factor. Demand paths and NPV are formula-driven. Low/high use the ±50% range from Inputs.</x:v>
      </x:c>
      <x:c r="B4" s="33" t="str">
        <x:v>This is a transparent alternative to a random Monte Carlo run. Each row combines a low, base, or high opening-demand factor with a low, base, or high growth factor. Demand paths and NPV are formula-driven. Low/high use the ±50% range from Inputs.</x:v>
      </x:c>
      <x:c r="C4" s="33" t="str">
        <x:v>This is a transparent alternative to a random Monte Carlo run. Each row combines a low, base, or high opening-demand factor with a low, base, or high growth factor. Demand paths and NPV are formula-driven. Low/high use the ±50% range from Inputs.</x:v>
      </x:c>
      <x:c r="D4" s="33" t="str">
        <x:v>This is a transparent alternative to a random Monte Carlo run. Each row combines a low, base, or high opening-demand factor with a low, base, or high growth factor. Demand paths and NPV are formula-driven. Low/high use the ±50% range from Inputs.</x:v>
      </x:c>
      <x:c r="E4" s="33" t="str">
        <x:v>This is a transparent alternative to a random Monte Carlo run. Each row combines a low, base, or high opening-demand factor with a low, base, or high growth factor. Demand paths and NPV are formula-driven. Low/high use the ±50% range from Inputs.</x:v>
      </x:c>
      <x:c r="F4" s="33" t="str">
        <x:v>This is a transparent alternative to a random Monte Carlo run. Each row combines a low, base, or high opening-demand factor with a low, base, or high growth factor. Demand paths and NPV are formula-driven. Low/high use the ±50% range from Inputs.</x:v>
      </x:c>
      <x:c r="G4" s="33" t="str">
        <x:v>This is a transparent alternative to a random Monte Carlo run. Each row combines a low, base, or high opening-demand factor with a low, base, or high growth factor. Demand paths and NPV are formula-driven. Low/high use the ±50% range from Inputs.</x:v>
      </x:c>
      <x:c r="H4" s="33" t="str">
        <x:v>This is a transparent alternative to a random Monte Carlo run. Each row combines a low, base, or high opening-demand factor with a low, base, or high growth factor. Demand paths and NPV are formula-driven. Low/high use the ±50% range from Inputs.</x:v>
      </x:c>
      <x:c r="I4" s="33" t="str">
        <x:v>This is a transparent alternative to a random Monte Carlo run. Each row combines a low, base, or high opening-demand factor with a low, base, or high growth factor. Demand paths and NPV are formula-driven. Low/high use the ±50% range from Inputs.</x:v>
      </x:c>
      <x:c r="J4" s="33" t="str">
        <x:v>This is a transparent alternative to a random Monte Carlo run. Each row combines a low, base, or high opening-demand factor with a low, base, or high growth factor. Demand paths and NPV are formula-driven. Low/high use the ±50% range from Inputs.</x:v>
      </x:c>
      <x:c r="K4" s="33" t="str">
        <x:v>This is a transparent alternative to a random Monte Carlo run. Each row combines a low, base, or high opening-demand factor with a low, base, or high growth factor. Demand paths and NPV are formula-driven. Low/high use the ±50% range from Inputs.</x:v>
      </x:c>
      <x:c r="L4" s="33" t="str">
        <x:v>This is a transparent alternative to a random Monte Carlo run. Each row combines a low, base, or high opening-demand factor with a low, base, or high growth factor. Demand paths and NPV are formula-driven. Low/high use the ±50% range from Inputs.</x:v>
      </x:c>
      <x:c r="M4" s="33" t="str">
        <x:v>This is a transparent alternative to a random Monte Carlo run. Each row combines a low, base, or high opening-demand factor with a low, base, or high growth factor. Demand paths and NPV are formula-driven. Low/high use the ±50% range from Inputs.</x:v>
      </x:c>
      <x:c r="N4" s="33" t="str">
        <x:v>This is a transparent alternative to a random Monte Carlo run. Each row combines a low, base, or high opening-demand factor with a low, base, or high growth factor. Demand paths and NPV are formula-driven. Low/high use the ±50% range from Inputs.</x:v>
      </x:c>
      <x:c r="O4" s="33" t="str">
        <x:v>This is a transparent alternative to a random Monte Carlo run. Each row combines a low, base, or high opening-demand factor with a low, base, or high growth factor. Demand paths and NPV are formula-driven. Low/high use the ±50% range from Inputs.</x:v>
      </x:c>
      <x:c r="P4" s="33" t="str">
        <x:v>This is a transparent alternative to a random Monte Carlo run. Each row combines a low, base, or high opening-demand factor with a low, base, or high growth factor. Demand paths and NPV are formula-driven. Low/high use the ±50% range from Inputs.</x:v>
      </x:c>
      <x:c r="Q4" s="33" t="str">
        <x:v>This is a transparent alternative to a random Monte Carlo run. Each row combines a low, base, or high opening-demand factor with a low, base, or high growth factor. Demand paths and NPV are formula-driven. Low/high use the ±50% range from Inputs.</x:v>
      </x:c>
      <x:c r="R4" s="33" t="str">
        <x:v>This is a transparent alternative to a random Monte Carlo run. Each row combines a low, base, or high opening-demand factor with a low, base, or high growth factor. Demand paths and NPV are formula-driven. Low/high use the ±50% range from Inputs.</x:v>
      </x:c>
      <x:c r="S4" s="33" t="str">
        <x:v>This is a transparent alternative to a random Monte Carlo run. Each row combines a low, base, or high opening-demand factor with a low, base, or high growth factor. Demand paths and NPV are formula-driven. Low/high use the ±50% range from Inputs.</x:v>
      </x:c>
      <x:c r="T4" s="33" t="str">
        <x:v>This is a transparent alternative to a random Monte Carlo run. Each row combines a low, base, or high opening-demand factor with a low, base, or high growth factor. Demand paths and NPV are formula-driven. Low/high use the ±50% range from Inputs.</x:v>
      </x:c>
      <x:c r="U4" s="33" t="str">
        <x:v>This is a transparent alternative to a random Monte Carlo run. Each row combines a low, base, or high opening-demand factor with a low, base, or high growth factor. Demand paths and NPV are formula-driven. Low/high use the ±50% range from Inputs.</x:v>
      </x:c>
      <x:c r="V4" s="33" t="str">
        <x:v>This is a transparent alternative to a random Monte Carlo run. Each row combines a low, base, or high opening-demand factor with a low, base, or high growth factor. Demand paths and NPV are formula-driven. Low/high use the ±50% range from Inputs.</x:v>
      </x:c>
      <x:c r="W4" s="33" t="str">
        <x:v>This is a transparent alternative to a random Monte Carlo run. Each row combines a low, base, or high opening-demand factor with a low, base, or high growth factor. Demand paths and NPV are formula-driven. Low/high use the ±50% range from Inputs.</x:v>
      </x:c>
      <x:c r="X4" s="33" t="str">
        <x:v>This is a transparent alternative to a random Monte Carlo run. Each row combines a low, base, or high opening-demand factor with a low, base, or high growth factor. Demand paths and NPV are formula-driven. Low/high use the ±50% range from Inputs.</x:v>
      </x:c>
      <x:c r="Y4" s="33" t="str">
        <x:v>This is a transparent alternative to a random Monte Carlo run. Each row combines a low, base, or high opening-demand factor with a low, base, or high growth factor. Demand paths and NPV are formula-driven. Low/high use the ±50% range from Inputs.</x:v>
      </x:c>
      <x:c r="Z4" s="33" t="str">
        <x:v>This is a transparent alternative to a random Monte Carlo run. Each row combines a low, base, or high opening-demand factor with a low, base, or high growth factor. Demand paths and NPV are formula-driven. Low/high use the ±50% range from Inputs.</x:v>
      </x:c>
      <x:c r="AA4" s="34" t="str">
        <x:v>This is a transparent alternative to a random Monte Carlo run. Each row combines a low, base, or high opening-demand factor with a low, base, or high growth factor. Demand paths and NPV are formula-driven. Low/high use the ±50% range from Inputs.</x:v>
      </x:c>
    </x:row>
    <x:row r="5">
      <x:c r="A5" s="35" t="str">
        <x:v>This is a transparent alternative to a random Monte Carlo run. Each row combines a low, base, or high opening-demand factor with a low, base, or high growth factor. Demand paths and NPV are formula-driven. Low/high use the ±50% range from Inputs.</x:v>
      </x:c>
      <x:c r="B5" s="31" t="str">
        <x:v>This is a transparent alternative to a random Monte Carlo run. Each row combines a low, base, or high opening-demand factor with a low, base, or high growth factor. Demand paths and NPV are formula-driven. Low/high use the ±50% range from Inputs.</x:v>
      </x:c>
      <x:c r="C5" s="31" t="str">
        <x:v>This is a transparent alternative to a random Monte Carlo run. Each row combines a low, base, or high opening-demand factor with a low, base, or high growth factor. Demand paths and NPV are formula-driven. Low/high use the ±50% range from Inputs.</x:v>
      </x:c>
      <x:c r="D5" s="31" t="str">
        <x:v>This is a transparent alternative to a random Monte Carlo run. Each row combines a low, base, or high opening-demand factor with a low, base, or high growth factor. Demand paths and NPV are formula-driven. Low/high use the ±50% range from Inputs.</x:v>
      </x:c>
      <x:c r="E5" s="31" t="str">
        <x:v>This is a transparent alternative to a random Monte Carlo run. Each row combines a low, base, or high opening-demand factor with a low, base, or high growth factor. Demand paths and NPV are formula-driven. Low/high use the ±50% range from Inputs.</x:v>
      </x:c>
      <x:c r="F5" s="31" t="str">
        <x:v>This is a transparent alternative to a random Monte Carlo run. Each row combines a low, base, or high opening-demand factor with a low, base, or high growth factor. Demand paths and NPV are formula-driven. Low/high use the ±50% range from Inputs.</x:v>
      </x:c>
      <x:c r="G5" s="31" t="str">
        <x:v>This is a transparent alternative to a random Monte Carlo run. Each row combines a low, base, or high opening-demand factor with a low, base, or high growth factor. Demand paths and NPV are formula-driven. Low/high use the ±50% range from Inputs.</x:v>
      </x:c>
      <x:c r="H5" s="31" t="str">
        <x:v>This is a transparent alternative to a random Monte Carlo run. Each row combines a low, base, or high opening-demand factor with a low, base, or high growth factor. Demand paths and NPV are formula-driven. Low/high use the ±50% range from Inputs.</x:v>
      </x:c>
      <x:c r="I5" s="31" t="str">
        <x:v>This is a transparent alternative to a random Monte Carlo run. Each row combines a low, base, or high opening-demand factor with a low, base, or high growth factor. Demand paths and NPV are formula-driven. Low/high use the ±50% range from Inputs.</x:v>
      </x:c>
      <x:c r="J5" s="31" t="str">
        <x:v>This is a transparent alternative to a random Monte Carlo run. Each row combines a low, base, or high opening-demand factor with a low, base, or high growth factor. Demand paths and NPV are formula-driven. Low/high use the ±50% range from Inputs.</x:v>
      </x:c>
      <x:c r="K5" s="31" t="str">
        <x:v>This is a transparent alternative to a random Monte Carlo run. Each row combines a low, base, or high opening-demand factor with a low, base, or high growth factor. Demand paths and NPV are formula-driven. Low/high use the ±50% range from Inputs.</x:v>
      </x:c>
      <x:c r="L5" s="31" t="str">
        <x:v>This is a transparent alternative to a random Monte Carlo run. Each row combines a low, base, or high opening-demand factor with a low, base, or high growth factor. Demand paths and NPV are formula-driven. Low/high use the ±50% range from Inputs.</x:v>
      </x:c>
      <x:c r="M5" s="31" t="str">
        <x:v>This is a transparent alternative to a random Monte Carlo run. Each row combines a low, base, or high opening-demand factor with a low, base, or high growth factor. Demand paths and NPV are formula-driven. Low/high use the ±50% range from Inputs.</x:v>
      </x:c>
      <x:c r="N5" s="31" t="str">
        <x:v>This is a transparent alternative to a random Monte Carlo run. Each row combines a low, base, or high opening-demand factor with a low, base, or high growth factor. Demand paths and NPV are formula-driven. Low/high use the ±50% range from Inputs.</x:v>
      </x:c>
      <x:c r="O5" s="31" t="str">
        <x:v>This is a transparent alternative to a random Monte Carlo run. Each row combines a low, base, or high opening-demand factor with a low, base, or high growth factor. Demand paths and NPV are formula-driven. Low/high use the ±50% range from Inputs.</x:v>
      </x:c>
      <x:c r="P5" s="31" t="str">
        <x:v>This is a transparent alternative to a random Monte Carlo run. Each row combines a low, base, or high opening-demand factor with a low, base, or high growth factor. Demand paths and NPV are formula-driven. Low/high use the ±50% range from Inputs.</x:v>
      </x:c>
      <x:c r="Q5" s="31" t="str">
        <x:v>This is a transparent alternative to a random Monte Carlo run. Each row combines a low, base, or high opening-demand factor with a low, base, or high growth factor. Demand paths and NPV are formula-driven. Low/high use the ±50% range from Inputs.</x:v>
      </x:c>
      <x:c r="R5" s="31" t="str">
        <x:v>This is a transparent alternative to a random Monte Carlo run. Each row combines a low, base, or high opening-demand factor with a low, base, or high growth factor. Demand paths and NPV are formula-driven. Low/high use the ±50% range from Inputs.</x:v>
      </x:c>
      <x:c r="S5" s="31" t="str">
        <x:v>This is a transparent alternative to a random Monte Carlo run. Each row combines a low, base, or high opening-demand factor with a low, base, or high growth factor. Demand paths and NPV are formula-driven. Low/high use the ±50% range from Inputs.</x:v>
      </x:c>
      <x:c r="T5" s="31" t="str">
        <x:v>This is a transparent alternative to a random Monte Carlo run. Each row combines a low, base, or high opening-demand factor with a low, base, or high growth factor. Demand paths and NPV are formula-driven. Low/high use the ±50% range from Inputs.</x:v>
      </x:c>
      <x:c r="U5" s="31" t="str">
        <x:v>This is a transparent alternative to a random Monte Carlo run. Each row combines a low, base, or high opening-demand factor with a low, base, or high growth factor. Demand paths and NPV are formula-driven. Low/high use the ±50% range from Inputs.</x:v>
      </x:c>
      <x:c r="V5" s="31" t="str">
        <x:v>This is a transparent alternative to a random Monte Carlo run. Each row combines a low, base, or high opening-demand factor with a low, base, or high growth factor. Demand paths and NPV are formula-driven. Low/high use the ±50% range from Inputs.</x:v>
      </x:c>
      <x:c r="W5" s="31" t="str">
        <x:v>This is a transparent alternative to a random Monte Carlo run. Each row combines a low, base, or high opening-demand factor with a low, base, or high growth factor. Demand paths and NPV are formula-driven. Low/high use the ±50% range from Inputs.</x:v>
      </x:c>
      <x:c r="X5" s="31" t="str">
        <x:v>This is a transparent alternative to a random Monte Carlo run. Each row combines a low, base, or high opening-demand factor with a low, base, or high growth factor. Demand paths and NPV are formula-driven. Low/high use the ±50% range from Inputs.</x:v>
      </x:c>
      <x:c r="Y5" s="31" t="str">
        <x:v>This is a transparent alternative to a random Monte Carlo run. Each row combines a low, base, or high opening-demand factor with a low, base, or high growth factor. Demand paths and NPV are formula-driven. Low/high use the ±50% range from Inputs.</x:v>
      </x:c>
      <x:c r="Z5" s="31" t="str">
        <x:v>This is a transparent alternative to a random Monte Carlo run. Each row combines a low, base, or high opening-demand factor with a low, base, or high growth factor. Demand paths and NPV are formula-driven. Low/high use the ±50% range from Inputs.</x:v>
      </x:c>
      <x:c r="AA5" s="36" t="str">
        <x:v>This is a transparent alternative to a random Monte Carlo run. Each row combines a low, base, or high opening-demand factor with a low, base, or high growth factor. Demand paths and NPV are formula-driven. Low/high use the ±50% range from Inputs.</x:v>
      </x:c>
    </x:row>
    <x:row r="6">
      <x:c r="A6" s="37" t="str">
        <x:v>This is a transparent alternative to a random Monte Carlo run. Each row combines a low, base, or high opening-demand factor with a low, base, or high growth factor. Demand paths and NPV are formula-driven. Low/high use the ±50% range from Inputs.</x:v>
      </x:c>
      <x:c r="B6" s="38" t="str">
        <x:v>This is a transparent alternative to a random Monte Carlo run. Each row combines a low, base, or high opening-demand factor with a low, base, or high growth factor. Demand paths and NPV are formula-driven. Low/high use the ±50% range from Inputs.</x:v>
      </x:c>
      <x:c r="C6" s="38" t="str">
        <x:v>This is a transparent alternative to a random Monte Carlo run. Each row combines a low, base, or high opening-demand factor with a low, base, or high growth factor. Demand paths and NPV are formula-driven. Low/high use the ±50% range from Inputs.</x:v>
      </x:c>
      <x:c r="D6" s="38" t="str">
        <x:v>This is a transparent alternative to a random Monte Carlo run. Each row combines a low, base, or high opening-demand factor with a low, base, or high growth factor. Demand paths and NPV are formula-driven. Low/high use the ±50% range from Inputs.</x:v>
      </x:c>
      <x:c r="E6" s="38" t="str">
        <x:v>This is a transparent alternative to a random Monte Carlo run. Each row combines a low, base, or high opening-demand factor with a low, base, or high growth factor. Demand paths and NPV are formula-driven. Low/high use the ±50% range from Inputs.</x:v>
      </x:c>
      <x:c r="F6" s="38" t="str">
        <x:v>This is a transparent alternative to a random Monte Carlo run. Each row combines a low, base, or high opening-demand factor with a low, base, or high growth factor. Demand paths and NPV are formula-driven. Low/high use the ±50% range from Inputs.</x:v>
      </x:c>
      <x:c r="G6" s="38" t="str">
        <x:v>This is a transparent alternative to a random Monte Carlo run. Each row combines a low, base, or high opening-demand factor with a low, base, or high growth factor. Demand paths and NPV are formula-driven. Low/high use the ±50% range from Inputs.</x:v>
      </x:c>
      <x:c r="H6" s="38" t="str">
        <x:v>This is a transparent alternative to a random Monte Carlo run. Each row combines a low, base, or high opening-demand factor with a low, base, or high growth factor. Demand paths and NPV are formula-driven. Low/high use the ±50% range from Inputs.</x:v>
      </x:c>
      <x:c r="I6" s="38" t="str">
        <x:v>This is a transparent alternative to a random Monte Carlo run. Each row combines a low, base, or high opening-demand factor with a low, base, or high growth factor. Demand paths and NPV are formula-driven. Low/high use the ±50% range from Inputs.</x:v>
      </x:c>
      <x:c r="J6" s="38" t="str">
        <x:v>This is a transparent alternative to a random Monte Carlo run. Each row combines a low, base, or high opening-demand factor with a low, base, or high growth factor. Demand paths and NPV are formula-driven. Low/high use the ±50% range from Inputs.</x:v>
      </x:c>
      <x:c r="K6" s="38" t="str">
        <x:v>This is a transparent alternative to a random Monte Carlo run. Each row combines a low, base, or high opening-demand factor with a low, base, or high growth factor. Demand paths and NPV are formula-driven. Low/high use the ±50% range from Inputs.</x:v>
      </x:c>
      <x:c r="L6" s="38" t="str">
        <x:v>This is a transparent alternative to a random Monte Carlo run. Each row combines a low, base, or high opening-demand factor with a low, base, or high growth factor. Demand paths and NPV are formula-driven. Low/high use the ±50% range from Inputs.</x:v>
      </x:c>
      <x:c r="M6" s="38" t="str">
        <x:v>This is a transparent alternative to a random Monte Carlo run. Each row combines a low, base, or high opening-demand factor with a low, base, or high growth factor. Demand paths and NPV are formula-driven. Low/high use the ±50% range from Inputs.</x:v>
      </x:c>
      <x:c r="N6" s="38" t="str">
        <x:v>This is a transparent alternative to a random Monte Carlo run. Each row combines a low, base, or high opening-demand factor with a low, base, or high growth factor. Demand paths and NPV are formula-driven. Low/high use the ±50% range from Inputs.</x:v>
      </x:c>
      <x:c r="O6" s="38" t="str">
        <x:v>This is a transparent alternative to a random Monte Carlo run. Each row combines a low, base, or high opening-demand factor with a low, base, or high growth factor. Demand paths and NPV are formula-driven. Low/high use the ±50% range from Inputs.</x:v>
      </x:c>
      <x:c r="P6" s="38" t="str">
        <x:v>This is a transparent alternative to a random Monte Carlo run. Each row combines a low, base, or high opening-demand factor with a low, base, or high growth factor. Demand paths and NPV are formula-driven. Low/high use the ±50% range from Inputs.</x:v>
      </x:c>
      <x:c r="Q6" s="38" t="str">
        <x:v>This is a transparent alternative to a random Monte Carlo run. Each row combines a low, base, or high opening-demand factor with a low, base, or high growth factor. Demand paths and NPV are formula-driven. Low/high use the ±50% range from Inputs.</x:v>
      </x:c>
      <x:c r="R6" s="38" t="str">
        <x:v>This is a transparent alternative to a random Monte Carlo run. Each row combines a low, base, or high opening-demand factor with a low, base, or high growth factor. Demand paths and NPV are formula-driven. Low/high use the ±50% range from Inputs.</x:v>
      </x:c>
      <x:c r="S6" s="38" t="str">
        <x:v>This is a transparent alternative to a random Monte Carlo run. Each row combines a low, base, or high opening-demand factor with a low, base, or high growth factor. Demand paths and NPV are formula-driven. Low/high use the ±50% range from Inputs.</x:v>
      </x:c>
      <x:c r="T6" s="38" t="str">
        <x:v>This is a transparent alternative to a random Monte Carlo run. Each row combines a low, base, or high opening-demand factor with a low, base, or high growth factor. Demand paths and NPV are formula-driven. Low/high use the ±50% range from Inputs.</x:v>
      </x:c>
      <x:c r="U6" s="38" t="str">
        <x:v>This is a transparent alternative to a random Monte Carlo run. Each row combines a low, base, or high opening-demand factor with a low, base, or high growth factor. Demand paths and NPV are formula-driven. Low/high use the ±50% range from Inputs.</x:v>
      </x:c>
      <x:c r="V6" s="38" t="str">
        <x:v>This is a transparent alternative to a random Monte Carlo run. Each row combines a low, base, or high opening-demand factor with a low, base, or high growth factor. Demand paths and NPV are formula-driven. Low/high use the ±50% range from Inputs.</x:v>
      </x:c>
      <x:c r="W6" s="38" t="str">
        <x:v>This is a transparent alternative to a random Monte Carlo run. Each row combines a low, base, or high opening-demand factor with a low, base, or high growth factor. Demand paths and NPV are formula-driven. Low/high use the ±50% range from Inputs.</x:v>
      </x:c>
      <x:c r="X6" s="38" t="str">
        <x:v>This is a transparent alternative to a random Monte Carlo run. Each row combines a low, base, or high opening-demand factor with a low, base, or high growth factor. Demand paths and NPV are formula-driven. Low/high use the ±50% range from Inputs.</x:v>
      </x:c>
      <x:c r="Y6" s="38" t="str">
        <x:v>This is a transparent alternative to a random Monte Carlo run. Each row combines a low, base, or high opening-demand factor with a low, base, or high growth factor. Demand paths and NPV are formula-driven. Low/high use the ±50% range from Inputs.</x:v>
      </x:c>
      <x:c r="Z6" s="38" t="str">
        <x:v>This is a transparent alternative to a random Monte Carlo run. Each row combines a low, base, or high opening-demand factor with a low, base, or high growth factor. Demand paths and NPV are formula-driven. Low/high use the ±50% range from Inputs.</x:v>
      </x:c>
      <x:c r="AA6" s="39" t="str">
        <x:v>This is a transparent alternative to a random Monte Carlo run. Each row combines a low, base, or high opening-demand factor with a low, base, or high growth factor. Demand paths and NPV are formula-driven. Low/high use the ±50% range from Inputs.</x:v>
      </x:c>
    </x:row>
    <x:row r="8">
      <x:c r="A8" s="46" t="str">
        <x:v>Scenario</x:v>
      </x:c>
      <x:c r="B8" s="46" t="str">
        <x:v>Opening factor</x:v>
      </x:c>
      <x:c r="C8" s="46" t="str">
        <x:v>Growth factor</x:v>
      </x:c>
      <x:c r="D8" s="46" t="str">
        <x:v>Final demand</x:v>
      </x:c>
      <x:c r="E8" s="46" t="str">
        <x:v>Beta</x:v>
      </x:c>
      <x:c r="F8" s="46" t="str">
        <x:v>Y1</x:v>
      </x:c>
      <x:c r="G8" s="46" t="str">
        <x:v>Y2</x:v>
      </x:c>
      <x:c r="H8" s="46" t="str">
        <x:v>Y3</x:v>
      </x:c>
      <x:c r="I8" s="46" t="str">
        <x:v>Y4</x:v>
      </x:c>
      <x:c r="J8" s="46" t="str">
        <x:v>Y5</x:v>
      </x:c>
      <x:c r="K8" s="46" t="str">
        <x:v>Y6</x:v>
      </x:c>
      <x:c r="L8" s="46" t="str">
        <x:v>Y7</x:v>
      </x:c>
      <x:c r="M8" s="46" t="str">
        <x:v>Y8</x:v>
      </x:c>
      <x:c r="N8" s="46" t="str">
        <x:v>Y9</x:v>
      </x:c>
      <x:c r="O8" s="46" t="str">
        <x:v>Y10</x:v>
      </x:c>
      <x:c r="P8" s="46" t="str">
        <x:v>Y11</x:v>
      </x:c>
      <x:c r="Q8" s="46" t="str">
        <x:v>Y12</x:v>
      </x:c>
      <x:c r="R8" s="46" t="str">
        <x:v>Y13</x:v>
      </x:c>
      <x:c r="S8" s="46" t="str">
        <x:v>Y14</x:v>
      </x:c>
      <x:c r="T8" s="46" t="str">
        <x:v>Y15</x:v>
      </x:c>
      <x:c r="U8" s="46" t="str">
        <x:v>Y16</x:v>
      </x:c>
      <x:c r="V8" s="46" t="str">
        <x:v>Y17</x:v>
      </x:c>
      <x:c r="W8" s="46" t="str">
        <x:v>Y18</x:v>
      </x:c>
      <x:c r="X8" s="46" t="str">
        <x:v>Y19</x:v>
      </x:c>
      <x:c r="Y8" s="46" t="str">
        <x:v>Y20</x:v>
      </x:c>
      <x:c r="Z8" s="46" t="str">
        <x:v>Initial investment</x:v>
      </x:c>
      <x:c r="AA8" s="46" t="str">
        <x:v>Fixed-design NPV</x:v>
      </x:c>
    </x:row>
    <x:row r="9">
      <x:c r="A9" s="14" t="str">
        <x:v>Low opening / Low growth</x:v>
      </x:c>
      <x:c r="B9" s="116" t="n">
        <x:f>1-'Inputs'!$B$23</x:f>
        <x:v>0.5</x:v>
      </x:c>
      <x:c r="C9" s="116" t="n">
        <x:f>1-'Inputs'!$B$23</x:f>
        <x:v>0.5</x:v>
      </x:c>
      <x:c r="D9" s="68" t="n">
        <x:f>'Inputs'!$B$6*B9+('Inputs'!$B$7+'Inputs'!$B$8)*C9</x:f>
        <x:v>875</x:v>
      </x:c>
      <x:c r="E9" s="69" t="n">
        <x:f>LN((D9-'Inputs'!$B$6*B9)/(D9-('Inputs'!$B$6*B9+'Inputs'!$B$7*C9)))/9</x:f>
        <x:v>0.15403270679109896</x:v>
      </x:c>
      <x:c r="F9" s="68" t="n">
        <x:f>D9-(D9-'Inputs'!$B$6*B9)*EXP(-E9*(1-1))</x:f>
        <x:v>375</x:v>
      </x:c>
      <x:c r="G9" s="68" t="n">
        <x:f>D9-(D9-'Inputs'!$B$6*B9)*EXP(-E9*(2-1))</x:f>
        <x:v>446.3780085734636</x:v>
      </x:c>
      <x:c r="H9" s="68" t="n">
        <x:f>D9-(D9-'Inputs'!$B$6*B9)*EXP(-E9*(3-1))</x:f>
        <x:v>507.5663769311003</x:v>
      </x:c>
      <x:c r="I9" s="68" t="n">
        <x:f>D9-(D9-'Inputs'!$B$6*B9)*EXP(-E9*(4-1))</x:f>
        <x:v>560.0197375262817</x:v>
      </x:c>
      <x:c r="J9" s="68" t="n">
        <x:f>D9-(D9-'Inputs'!$B$6*B9)*EXP(-E9*(5-1))</x:f>
        <x:v>604.9850652769235</x:v>
      </x:c>
      <x:c r="K9" s="68" t="n">
        <x:f>D9-(D9-'Inputs'!$B$6*B9)*EXP(-E9*(6-1))</x:f>
        <x:v>643.5313219281774</x:v>
      </x:c>
      <x:c r="L9" s="68" t="n">
        <x:f>D9-(D9-'Inputs'!$B$6*B9)*EXP(-E9*(7-1))</x:f>
        <x:v>676.574868503975</x:v>
      </x:c>
      <x:c r="M9" s="68" t="n">
        <x:f>D9-(D9-'Inputs'!$B$6*B9)*EXP(-E9*(8-1))</x:f>
        <x:v>704.9012499782029</x:v>
      </x:c>
      <x:c r="N9" s="68" t="n">
        <x:f>D9-(D9-'Inputs'!$B$6*B9)*EXP(-E9*(9-1))</x:f>
        <x:v>729.1838700529854</x:v>
      </x:c>
      <x:c r="O9" s="68" t="n">
        <x:f>D9-(D9-'Inputs'!$B$6*B9)*EXP(-E9*(10-1))</x:f>
        <x:v>750</x:v>
      </x:c>
      <x:c r="P9" s="68" t="n">
        <x:f>D9-(D9-'Inputs'!$B$6*B9)*EXP(-E9*(11-1))</x:f>
        <x:v>767.8445021433658</x:v>
      </x:c>
      <x:c r="Q9" s="68" t="n">
        <x:f>D9-(D9-'Inputs'!$B$6*B9)*EXP(-E9*(12-1))</x:f>
        <x:v>783.1415942327751</x:v>
      </x:c>
      <x:c r="R9" s="68" t="n">
        <x:f>D9-(D9-'Inputs'!$B$6*B9)*EXP(-E9*(13-1))</x:f>
        <x:v>796.2549343815705</x:v>
      </x:c>
      <x:c r="S9" s="68" t="n">
        <x:f>D9-(D9-'Inputs'!$B$6*B9)*EXP(-E9*(14-1))</x:f>
        <x:v>807.4962663192309</x:v>
      </x:c>
      <x:c r="T9" s="68" t="n">
        <x:f>D9-(D9-'Inputs'!$B$6*B9)*EXP(-E9*(15-1))</x:f>
        <x:v>817.1328304820444</x:v>
      </x:c>
      <x:c r="U9" s="68" t="n">
        <x:f>D9-(D9-'Inputs'!$B$6*B9)*EXP(-E9*(16-1))</x:f>
        <x:v>825.3937171259938</x:v>
      </x:c>
      <x:c r="V9" s="68" t="n">
        <x:f>D9-(D9-'Inputs'!$B$6*B9)*EXP(-E9*(17-1))</x:f>
        <x:v>832.4753124945507</x:v>
      </x:c>
      <x:c r="W9" s="68" t="n">
        <x:f>D9-(D9-'Inputs'!$B$6*B9)*EXP(-E9*(18-1))</x:f>
        <x:v>838.5459675132463</x:v>
      </x:c>
      <x:c r="X9" s="68" t="n">
        <x:f>D9-(D9-'Inputs'!$B$6*B9)*EXP(-E9*(19-1))</x:f>
        <x:v>843.75</x:v>
      </x:c>
      <x:c r="Y9" s="68" t="n">
        <x:f>D9-(D9-'Inputs'!$B$6*B9)*EXP(-E9*(20-1))</x:f>
        <x:v>848.2111255358415</x:v>
      </x:c>
      <x:c r="Z9" s="79" t="n">
        <x:f>-SUMIF('Inputs'!$H$6:$H$14,"&lt;="&amp;'Inputs'!$B$17,'Inputs'!$I$6:$I$14)</x:f>
        <x:v>-22736320</x:v>
      </x:c>
      <x:c r="AA9" s="79" t="n">
        <x:f>Z9+(MIN(F9,'Inputs'!$B$17*'Inputs'!$B$16)*'Inputs'!$B$10-'Inputs'!$B$17*'Inputs'!$B$16*'Inputs'!$B$11-'Inputs'!$B$12)/(1+'Inputs'!$B$22)^1+(MIN(G9,'Inputs'!$B$17*'Inputs'!$B$16)*'Inputs'!$B$10-'Inputs'!$B$17*'Inputs'!$B$16*'Inputs'!$B$11-'Inputs'!$B$12)/(1+'Inputs'!$B$22)^2+(MIN(H9,'Inputs'!$B$17*'Inputs'!$B$16)*'Inputs'!$B$10-'Inputs'!$B$17*'Inputs'!$B$16*'Inputs'!$B$11-'Inputs'!$B$12)/(1+'Inputs'!$B$22)^3+(MIN(I9,'Inputs'!$B$17*'Inputs'!$B$16)*'Inputs'!$B$10-'Inputs'!$B$17*'Inputs'!$B$16*'Inputs'!$B$11-'Inputs'!$B$12)/(1+'Inputs'!$B$22)^4+(MIN(J9,'Inputs'!$B$17*'Inputs'!$B$16)*'Inputs'!$B$10-'Inputs'!$B$17*'Inputs'!$B$16*'Inputs'!$B$11-'Inputs'!$B$12)/(1+'Inputs'!$B$22)^5+(MIN(K9,'Inputs'!$B$17*'Inputs'!$B$16)*'Inputs'!$B$10-'Inputs'!$B$17*'Inputs'!$B$16*'Inputs'!$B$11-'Inputs'!$B$12)/(1+'Inputs'!$B$22)^6+(MIN(L9,'Inputs'!$B$17*'Inputs'!$B$16)*'Inputs'!$B$10-'Inputs'!$B$17*'Inputs'!$B$16*'Inputs'!$B$11-'Inputs'!$B$12)/(1+'Inputs'!$B$22)^7+(MIN(M9,'Inputs'!$B$17*'Inputs'!$B$16)*'Inputs'!$B$10-'Inputs'!$B$17*'Inputs'!$B$16*'Inputs'!$B$11-'Inputs'!$B$12)/(1+'Inputs'!$B$22)^8+(MIN(N9,'Inputs'!$B$17*'Inputs'!$B$16)*'Inputs'!$B$10-'Inputs'!$B$17*'Inputs'!$B$16*'Inputs'!$B$11-'Inputs'!$B$12)/(1+'Inputs'!$B$22)^9+(MIN(O9,'Inputs'!$B$17*'Inputs'!$B$16)*'Inputs'!$B$10-'Inputs'!$B$17*'Inputs'!$B$16*'Inputs'!$B$11-'Inputs'!$B$12)/(1+'Inputs'!$B$22)^10+(MIN(P9,'Inputs'!$B$17*'Inputs'!$B$16)*'Inputs'!$B$10-'Inputs'!$B$17*'Inputs'!$B$16*'Inputs'!$B$11-'Inputs'!$B$12)/(1+'Inputs'!$B$22)^11+(MIN(Q9,'Inputs'!$B$17*'Inputs'!$B$16)*'Inputs'!$B$10-'Inputs'!$B$17*'Inputs'!$B$16*'Inputs'!$B$11-'Inputs'!$B$12)/(1+'Inputs'!$B$22)^12+(MIN(R9,'Inputs'!$B$17*'Inputs'!$B$16)*'Inputs'!$B$10-'Inputs'!$B$17*'Inputs'!$B$16*'Inputs'!$B$11-'Inputs'!$B$12)/(1+'Inputs'!$B$22)^13+(MIN(S9,'Inputs'!$B$17*'Inputs'!$B$16)*'Inputs'!$B$10-'Inputs'!$B$17*'Inputs'!$B$16*'Inputs'!$B$11-'Inputs'!$B$12)/(1+'Inputs'!$B$22)^14+(MIN(T9,'Inputs'!$B$17*'Inputs'!$B$16)*'Inputs'!$B$10-'Inputs'!$B$17*'Inputs'!$B$16*'Inputs'!$B$11-'Inputs'!$B$12)/(1+'Inputs'!$B$22)^15+(MIN(U9,'Inputs'!$B$17*'Inputs'!$B$16)*'Inputs'!$B$10-'Inputs'!$B$17*'Inputs'!$B$16*'Inputs'!$B$11-'Inputs'!$B$12)/(1+'Inputs'!$B$22)^16+(MIN(V9,'Inputs'!$B$17*'Inputs'!$B$16)*'Inputs'!$B$10-'Inputs'!$B$17*'Inputs'!$B$16*'Inputs'!$B$11-'Inputs'!$B$12)/(1+'Inputs'!$B$22)^17+(MIN(W9,'Inputs'!$B$17*'Inputs'!$B$16)*'Inputs'!$B$10-'Inputs'!$B$17*'Inputs'!$B$16*'Inputs'!$B$11-'Inputs'!$B$12)/(1+'Inputs'!$B$22)^18+(MIN(X9,'Inputs'!$B$17*'Inputs'!$B$16)*'Inputs'!$B$10-'Inputs'!$B$17*'Inputs'!$B$16*'Inputs'!$B$11-'Inputs'!$B$12)/(1+'Inputs'!$B$22)^19+(MIN(Y9,'Inputs'!$B$17*'Inputs'!$B$16)*'Inputs'!$B$10-'Inputs'!$B$17*'Inputs'!$B$16*'Inputs'!$B$11-'Inputs'!$B$12)/(1+'Inputs'!$B$22)^20</x:f>
        <x:v>-21133806.303689606</x:v>
      </x:c>
    </x:row>
    <x:row r="10">
      <x:c r="A10" s="14" t="str">
        <x:v>Low opening / Base growth</x:v>
      </x:c>
      <x:c r="B10" s="116" t="n">
        <x:f>1-'Inputs'!$B$23</x:f>
        <x:v>0.5</x:v>
      </x:c>
      <x:c r="C10" s="116" t="n">
        <x:f>1</x:f>
        <x:v>1</x:v>
      </x:c>
      <x:c r="D10" s="68" t="n">
        <x:f>'Inputs'!$B$6*B10+('Inputs'!$B$7+'Inputs'!$B$8)*C10</x:f>
        <x:v>1375</x:v>
      </x:c>
      <x:c r="E10" s="69" t="n">
        <x:f>LN((D10-'Inputs'!$B$6*B10)/(D10-('Inputs'!$B$6*B10+'Inputs'!$B$7*C10)))/9</x:f>
        <x:v>0.15403270679109896</x:v>
      </x:c>
      <x:c r="F10" s="68" t="n">
        <x:f>D10-(D10-'Inputs'!$B$6*B10)*EXP(-E10*(1-1))</x:f>
        <x:v>375</x:v>
      </x:c>
      <x:c r="G10" s="68" t="n">
        <x:f>D10-(D10-'Inputs'!$B$6*B10)*EXP(-E10*(2-1))</x:f>
        <x:v>517.7560171469272</x:v>
      </x:c>
      <x:c r="H10" s="68" t="n">
        <x:f>D10-(D10-'Inputs'!$B$6*B10)*EXP(-E10*(3-1))</x:f>
        <x:v>640.1327538622006</x:v>
      </x:c>
      <x:c r="I10" s="68" t="n">
        <x:f>D10-(D10-'Inputs'!$B$6*B10)*EXP(-E10*(4-1))</x:f>
        <x:v>745.0394750525634</x:v>
      </x:c>
      <x:c r="J10" s="68" t="n">
        <x:f>D10-(D10-'Inputs'!$B$6*B10)*EXP(-E10*(5-1))</x:f>
        <x:v>834.970130553847</x:v>
      </x:c>
      <x:c r="K10" s="68" t="n">
        <x:f>D10-(D10-'Inputs'!$B$6*B10)*EXP(-E10*(6-1))</x:f>
        <x:v>912.0626438563547</x:v>
      </x:c>
      <x:c r="L10" s="68" t="n">
        <x:f>D10-(D10-'Inputs'!$B$6*B10)*EXP(-E10*(7-1))</x:f>
        <x:v>978.1497370079501</x:v>
      </x:c>
      <x:c r="M10" s="68" t="n">
        <x:f>D10-(D10-'Inputs'!$B$6*B10)*EXP(-E10*(8-1))</x:f>
        <x:v>1034.8024999564059</x:v>
      </x:c>
      <x:c r="N10" s="68" t="n">
        <x:f>D10-(D10-'Inputs'!$B$6*B10)*EXP(-E10*(9-1))</x:f>
        <x:v>1083.3677401059708</x:v>
      </x:c>
      <x:c r="O10" s="68" t="n">
        <x:f>D10-(D10-'Inputs'!$B$6*B10)*EXP(-E10*(10-1))</x:f>
        <x:v>1125</x:v>
      </x:c>
      <x:c r="P10" s="68" t="n">
        <x:f>D10-(D10-'Inputs'!$B$6*B10)*EXP(-E10*(11-1))</x:f>
        <x:v>1160.6890042867317</x:v>
      </x:c>
      <x:c r="Q10" s="68" t="n">
        <x:f>D10-(D10-'Inputs'!$B$6*B10)*EXP(-E10*(12-1))</x:f>
        <x:v>1191.2831884655502</x:v>
      </x:c>
      <x:c r="R10" s="68" t="n">
        <x:f>D10-(D10-'Inputs'!$B$6*B10)*EXP(-E10*(13-1))</x:f>
        <x:v>1217.509868763141</x:v>
      </x:c>
      <x:c r="S10" s="68" t="n">
        <x:f>D10-(D10-'Inputs'!$B$6*B10)*EXP(-E10*(14-1))</x:f>
        <x:v>1239.9925326384619</x:v>
      </x:c>
      <x:c r="T10" s="68" t="n">
        <x:f>D10-(D10-'Inputs'!$B$6*B10)*EXP(-E10*(15-1))</x:f>
        <x:v>1259.2656609640887</x:v>
      </x:c>
      <x:c r="U10" s="68" t="n">
        <x:f>D10-(D10-'Inputs'!$B$6*B10)*EXP(-E10*(16-1))</x:f>
        <x:v>1275.7874342519876</x:v>
      </x:c>
      <x:c r="V10" s="68" t="n">
        <x:f>D10-(D10-'Inputs'!$B$6*B10)*EXP(-E10*(17-1))</x:f>
        <x:v>1289.9506249891015</x:v>
      </x:c>
      <x:c r="W10" s="68" t="n">
        <x:f>D10-(D10-'Inputs'!$B$6*B10)*EXP(-E10*(18-1))</x:f>
        <x:v>1302.0919350264926</x:v>
      </x:c>
      <x:c r="X10" s="68" t="n">
        <x:f>D10-(D10-'Inputs'!$B$6*B10)*EXP(-E10*(19-1))</x:f>
        <x:v>1312.5</x:v>
      </x:c>
      <x:c r="Y10" s="68" t="n">
        <x:f>D10-(D10-'Inputs'!$B$6*B10)*EXP(-E10*(20-1))</x:f>
        <x:v>1321.422251071683</x:v>
      </x:c>
      <x:c r="Z10" s="79" t="n">
        <x:f>-SUMIF('Inputs'!$H$6:$H$14,"&lt;="&amp;'Inputs'!$B$17,'Inputs'!$I$6:$I$14)</x:f>
        <x:v>-22736320</x:v>
      </x:c>
      <x:c r="AA10" s="79" t="n">
        <x:f>Z10+(MIN(F10,'Inputs'!$B$17*'Inputs'!$B$16)*'Inputs'!$B$10-'Inputs'!$B$17*'Inputs'!$B$16*'Inputs'!$B$11-'Inputs'!$B$12)/(1+'Inputs'!$B$22)^1+(MIN(G10,'Inputs'!$B$17*'Inputs'!$B$16)*'Inputs'!$B$10-'Inputs'!$B$17*'Inputs'!$B$16*'Inputs'!$B$11-'Inputs'!$B$12)/(1+'Inputs'!$B$22)^2+(MIN(H10,'Inputs'!$B$17*'Inputs'!$B$16)*'Inputs'!$B$10-'Inputs'!$B$17*'Inputs'!$B$16*'Inputs'!$B$11-'Inputs'!$B$12)/(1+'Inputs'!$B$22)^3+(MIN(I10,'Inputs'!$B$17*'Inputs'!$B$16)*'Inputs'!$B$10-'Inputs'!$B$17*'Inputs'!$B$16*'Inputs'!$B$11-'Inputs'!$B$12)/(1+'Inputs'!$B$22)^4+(MIN(J10,'Inputs'!$B$17*'Inputs'!$B$16)*'Inputs'!$B$10-'Inputs'!$B$17*'Inputs'!$B$16*'Inputs'!$B$11-'Inputs'!$B$12)/(1+'Inputs'!$B$22)^5+(MIN(K10,'Inputs'!$B$17*'Inputs'!$B$16)*'Inputs'!$B$10-'Inputs'!$B$17*'Inputs'!$B$16*'Inputs'!$B$11-'Inputs'!$B$12)/(1+'Inputs'!$B$22)^6+(MIN(L10,'Inputs'!$B$17*'Inputs'!$B$16)*'Inputs'!$B$10-'Inputs'!$B$17*'Inputs'!$B$16*'Inputs'!$B$11-'Inputs'!$B$12)/(1+'Inputs'!$B$22)^7+(MIN(M10,'Inputs'!$B$17*'Inputs'!$B$16)*'Inputs'!$B$10-'Inputs'!$B$17*'Inputs'!$B$16*'Inputs'!$B$11-'Inputs'!$B$12)/(1+'Inputs'!$B$22)^8+(MIN(N10,'Inputs'!$B$17*'Inputs'!$B$16)*'Inputs'!$B$10-'Inputs'!$B$17*'Inputs'!$B$16*'Inputs'!$B$11-'Inputs'!$B$12)/(1+'Inputs'!$B$22)^9+(MIN(O10,'Inputs'!$B$17*'Inputs'!$B$16)*'Inputs'!$B$10-'Inputs'!$B$17*'Inputs'!$B$16*'Inputs'!$B$11-'Inputs'!$B$12)/(1+'Inputs'!$B$22)^10+(MIN(P10,'Inputs'!$B$17*'Inputs'!$B$16)*'Inputs'!$B$10-'Inputs'!$B$17*'Inputs'!$B$16*'Inputs'!$B$11-'Inputs'!$B$12)/(1+'Inputs'!$B$22)^11+(MIN(Q10,'Inputs'!$B$17*'Inputs'!$B$16)*'Inputs'!$B$10-'Inputs'!$B$17*'Inputs'!$B$16*'Inputs'!$B$11-'Inputs'!$B$12)/(1+'Inputs'!$B$22)^12+(MIN(R10,'Inputs'!$B$17*'Inputs'!$B$16)*'Inputs'!$B$10-'Inputs'!$B$17*'Inputs'!$B$16*'Inputs'!$B$11-'Inputs'!$B$12)/(1+'Inputs'!$B$22)^13+(MIN(S10,'Inputs'!$B$17*'Inputs'!$B$16)*'Inputs'!$B$10-'Inputs'!$B$17*'Inputs'!$B$16*'Inputs'!$B$11-'Inputs'!$B$12)/(1+'Inputs'!$B$22)^14+(MIN(T10,'Inputs'!$B$17*'Inputs'!$B$16)*'Inputs'!$B$10-'Inputs'!$B$17*'Inputs'!$B$16*'Inputs'!$B$11-'Inputs'!$B$12)/(1+'Inputs'!$B$22)^15+(MIN(U10,'Inputs'!$B$17*'Inputs'!$B$16)*'Inputs'!$B$10-'Inputs'!$B$17*'Inputs'!$B$16*'Inputs'!$B$11-'Inputs'!$B$12)/(1+'Inputs'!$B$22)^16+(MIN(V10,'Inputs'!$B$17*'Inputs'!$B$16)*'Inputs'!$B$10-'Inputs'!$B$17*'Inputs'!$B$16*'Inputs'!$B$11-'Inputs'!$B$12)/(1+'Inputs'!$B$22)^17+(MIN(W10,'Inputs'!$B$17*'Inputs'!$B$16)*'Inputs'!$B$10-'Inputs'!$B$17*'Inputs'!$B$16*'Inputs'!$B$11-'Inputs'!$B$12)/(1+'Inputs'!$B$22)^18+(MIN(X10,'Inputs'!$B$17*'Inputs'!$B$16)*'Inputs'!$B$10-'Inputs'!$B$17*'Inputs'!$B$16*'Inputs'!$B$11-'Inputs'!$B$12)/(1+'Inputs'!$B$22)^19+(MIN(Y10,'Inputs'!$B$17*'Inputs'!$B$16)*'Inputs'!$B$10-'Inputs'!$B$17*'Inputs'!$B$16*'Inputs'!$B$11-'Inputs'!$B$12)/(1+'Inputs'!$B$22)^20</x:f>
        <x:v>-3599169.639488945</x:v>
      </x:c>
    </x:row>
    <x:row r="11">
      <x:c r="A11" s="14" t="str">
        <x:v>Low opening / High growth</x:v>
      </x:c>
      <x:c r="B11" s="116" t="n">
        <x:f>1-'Inputs'!$B$23</x:f>
        <x:v>0.5</x:v>
      </x:c>
      <x:c r="C11" s="116" t="n">
        <x:f>1+'Inputs'!$B$23</x:f>
        <x:v>1.5</x:v>
      </x:c>
      <x:c r="D11" s="68" t="n">
        <x:f>'Inputs'!$B$6*B11+('Inputs'!$B$7+'Inputs'!$B$8)*C11</x:f>
        <x:v>1875</x:v>
      </x:c>
      <x:c r="E11" s="69" t="n">
        <x:f>LN((D11-'Inputs'!$B$6*B11)/(D11-('Inputs'!$B$6*B11+'Inputs'!$B$7*C11)))/9</x:f>
        <x:v>0.15403270679109896</x:v>
      </x:c>
      <x:c r="F11" s="68" t="n">
        <x:f>D11-(D11-'Inputs'!$B$6*B11)*EXP(-E11*(1-1))</x:f>
        <x:v>375</x:v>
      </x:c>
      <x:c r="G11" s="68" t="n">
        <x:f>D11-(D11-'Inputs'!$B$6*B11)*EXP(-E11*(2-1))</x:f>
        <x:v>589.1340257203908</x:v>
      </x:c>
      <x:c r="H11" s="68" t="n">
        <x:f>D11-(D11-'Inputs'!$B$6*B11)*EXP(-E11*(3-1))</x:f>
        <x:v>772.6991307933008</x:v>
      </x:c>
      <x:c r="I11" s="68" t="n">
        <x:f>D11-(D11-'Inputs'!$B$6*B11)*EXP(-E11*(4-1))</x:f>
        <x:v>930.0592125788451</x:v>
      </x:c>
      <x:c r="J11" s="68" t="n">
        <x:f>D11-(D11-'Inputs'!$B$6*B11)*EXP(-E11*(5-1))</x:f>
        <x:v>1064.9551958307704</x:v>
      </x:c>
      <x:c r="K11" s="68" t="n">
        <x:f>D11-(D11-'Inputs'!$B$6*B11)*EXP(-E11*(6-1))</x:f>
        <x:v>1180.5939657845322</x:v>
      </x:c>
      <x:c r="L11" s="68" t="n">
        <x:f>D11-(D11-'Inputs'!$B$6*B11)*EXP(-E11*(7-1))</x:f>
        <x:v>1279.7246055119253</x:v>
      </x:c>
      <x:c r="M11" s="68" t="n">
        <x:f>D11-(D11-'Inputs'!$B$6*B11)*EXP(-E11*(8-1))</x:f>
        <x:v>1364.7037499346086</x:v>
      </x:c>
      <x:c r="N11" s="68" t="n">
        <x:f>D11-(D11-'Inputs'!$B$6*B11)*EXP(-E11*(9-1))</x:f>
        <x:v>1437.5516101589562</x:v>
      </x:c>
      <x:c r="O11" s="68" t="n">
        <x:f>D11-(D11-'Inputs'!$B$6*B11)*EXP(-E11*(10-1))</x:f>
        <x:v>1500</x:v>
      </x:c>
      <x:c r="P11" s="68" t="n">
        <x:f>D11-(D11-'Inputs'!$B$6*B11)*EXP(-E11*(11-1))</x:f>
        <x:v>1553.5335064300975</x:v>
      </x:c>
      <x:c r="Q11" s="68" t="n">
        <x:f>D11-(D11-'Inputs'!$B$6*B11)*EXP(-E11*(12-1))</x:f>
        <x:v>1599.424782698325</x:v>
      </x:c>
      <x:c r="R11" s="68" t="n">
        <x:f>D11-(D11-'Inputs'!$B$6*B11)*EXP(-E11*(13-1))</x:f>
        <x:v>1638.7648031447113</x:v>
      </x:c>
      <x:c r="S11" s="68" t="n">
        <x:f>D11-(D11-'Inputs'!$B$6*B11)*EXP(-E11*(14-1))</x:f>
        <x:v>1672.4887989576926</x:v>
      </x:c>
      <x:c r="T11" s="68" t="n">
        <x:f>D11-(D11-'Inputs'!$B$6*B11)*EXP(-E11*(15-1))</x:f>
        <x:v>1701.398491446133</x:v>
      </x:c>
      <x:c r="U11" s="68" t="n">
        <x:f>D11-(D11-'Inputs'!$B$6*B11)*EXP(-E11*(16-1))</x:f>
        <x:v>1726.1811513779812</x:v>
      </x:c>
      <x:c r="V11" s="68" t="n">
        <x:f>D11-(D11-'Inputs'!$B$6*B11)*EXP(-E11*(17-1))</x:f>
        <x:v>1747.4259374836522</x:v>
      </x:c>
      <x:c r="W11" s="68" t="n">
        <x:f>D11-(D11-'Inputs'!$B$6*B11)*EXP(-E11*(18-1))</x:f>
        <x:v>1765.6379025397391</x:v>
      </x:c>
      <x:c r="X11" s="68" t="n">
        <x:f>D11-(D11-'Inputs'!$B$6*B11)*EXP(-E11*(19-1))</x:f>
        <x:v>1781.25</x:v>
      </x:c>
      <x:c r="Y11" s="68" t="n">
        <x:f>D11-(D11-'Inputs'!$B$6*B11)*EXP(-E11*(20-1))</x:f>
        <x:v>1794.6333766075245</x:v>
      </x:c>
      <x:c r="Z11" s="79" t="n">
        <x:f>-SUMIF('Inputs'!$H$6:$H$14,"&lt;="&amp;'Inputs'!$B$17,'Inputs'!$I$6:$I$14)</x:f>
        <x:v>-22736320</x:v>
      </x:c>
      <x:c r="AA11" s="79" t="n">
        <x:f>Z11+(MIN(F11,'Inputs'!$B$17*'Inputs'!$B$16)*'Inputs'!$B$10-'Inputs'!$B$17*'Inputs'!$B$16*'Inputs'!$B$11-'Inputs'!$B$12)/(1+'Inputs'!$B$22)^1+(MIN(G11,'Inputs'!$B$17*'Inputs'!$B$16)*'Inputs'!$B$10-'Inputs'!$B$17*'Inputs'!$B$16*'Inputs'!$B$11-'Inputs'!$B$12)/(1+'Inputs'!$B$22)^2+(MIN(H11,'Inputs'!$B$17*'Inputs'!$B$16)*'Inputs'!$B$10-'Inputs'!$B$17*'Inputs'!$B$16*'Inputs'!$B$11-'Inputs'!$B$12)/(1+'Inputs'!$B$22)^3+(MIN(I11,'Inputs'!$B$17*'Inputs'!$B$16)*'Inputs'!$B$10-'Inputs'!$B$17*'Inputs'!$B$16*'Inputs'!$B$11-'Inputs'!$B$12)/(1+'Inputs'!$B$22)^4+(MIN(J11,'Inputs'!$B$17*'Inputs'!$B$16)*'Inputs'!$B$10-'Inputs'!$B$17*'Inputs'!$B$16*'Inputs'!$B$11-'Inputs'!$B$12)/(1+'Inputs'!$B$22)^5+(MIN(K11,'Inputs'!$B$17*'Inputs'!$B$16)*'Inputs'!$B$10-'Inputs'!$B$17*'Inputs'!$B$16*'Inputs'!$B$11-'Inputs'!$B$12)/(1+'Inputs'!$B$22)^6+(MIN(L11,'Inputs'!$B$17*'Inputs'!$B$16)*'Inputs'!$B$10-'Inputs'!$B$17*'Inputs'!$B$16*'Inputs'!$B$11-'Inputs'!$B$12)/(1+'Inputs'!$B$22)^7+(MIN(M11,'Inputs'!$B$17*'Inputs'!$B$16)*'Inputs'!$B$10-'Inputs'!$B$17*'Inputs'!$B$16*'Inputs'!$B$11-'Inputs'!$B$12)/(1+'Inputs'!$B$22)^8+(MIN(N11,'Inputs'!$B$17*'Inputs'!$B$16)*'Inputs'!$B$10-'Inputs'!$B$17*'Inputs'!$B$16*'Inputs'!$B$11-'Inputs'!$B$12)/(1+'Inputs'!$B$22)^9+(MIN(O11,'Inputs'!$B$17*'Inputs'!$B$16)*'Inputs'!$B$10-'Inputs'!$B$17*'Inputs'!$B$16*'Inputs'!$B$11-'Inputs'!$B$12)/(1+'Inputs'!$B$22)^10+(MIN(P11,'Inputs'!$B$17*'Inputs'!$B$16)*'Inputs'!$B$10-'Inputs'!$B$17*'Inputs'!$B$16*'Inputs'!$B$11-'Inputs'!$B$12)/(1+'Inputs'!$B$22)^11+(MIN(Q11,'Inputs'!$B$17*'Inputs'!$B$16)*'Inputs'!$B$10-'Inputs'!$B$17*'Inputs'!$B$16*'Inputs'!$B$11-'Inputs'!$B$12)/(1+'Inputs'!$B$22)^12+(MIN(R11,'Inputs'!$B$17*'Inputs'!$B$16)*'Inputs'!$B$10-'Inputs'!$B$17*'Inputs'!$B$16*'Inputs'!$B$11-'Inputs'!$B$12)/(1+'Inputs'!$B$22)^13+(MIN(S11,'Inputs'!$B$17*'Inputs'!$B$16)*'Inputs'!$B$10-'Inputs'!$B$17*'Inputs'!$B$16*'Inputs'!$B$11-'Inputs'!$B$12)/(1+'Inputs'!$B$22)^14+(MIN(T11,'Inputs'!$B$17*'Inputs'!$B$16)*'Inputs'!$B$10-'Inputs'!$B$17*'Inputs'!$B$16*'Inputs'!$B$11-'Inputs'!$B$12)/(1+'Inputs'!$B$22)^15+(MIN(U11,'Inputs'!$B$17*'Inputs'!$B$16)*'Inputs'!$B$10-'Inputs'!$B$17*'Inputs'!$B$16*'Inputs'!$B$11-'Inputs'!$B$12)/(1+'Inputs'!$B$22)^16+(MIN(V11,'Inputs'!$B$17*'Inputs'!$B$16)*'Inputs'!$B$10-'Inputs'!$B$17*'Inputs'!$B$16*'Inputs'!$B$11-'Inputs'!$B$12)/(1+'Inputs'!$B$22)^17+(MIN(W11,'Inputs'!$B$17*'Inputs'!$B$16)*'Inputs'!$B$10-'Inputs'!$B$17*'Inputs'!$B$16*'Inputs'!$B$11-'Inputs'!$B$12)/(1+'Inputs'!$B$22)^18+(MIN(X11,'Inputs'!$B$17*'Inputs'!$B$16)*'Inputs'!$B$10-'Inputs'!$B$17*'Inputs'!$B$16*'Inputs'!$B$11-'Inputs'!$B$12)/(1+'Inputs'!$B$22)^19+(MIN(Y11,'Inputs'!$B$17*'Inputs'!$B$16)*'Inputs'!$B$10-'Inputs'!$B$17*'Inputs'!$B$16*'Inputs'!$B$11-'Inputs'!$B$12)/(1+'Inputs'!$B$22)^20</x:f>
        <x:v>4222920.984765914</x:v>
      </x:c>
    </x:row>
    <x:row r="12">
      <x:c r="A12" s="14" t="str">
        <x:v>Base opening / Low growth</x:v>
      </x:c>
      <x:c r="B12" s="116" t="n">
        <x:f>1</x:f>
        <x:v>1</x:v>
      </x:c>
      <x:c r="C12" s="116" t="n">
        <x:f>1-'Inputs'!$B$23</x:f>
        <x:v>0.5</x:v>
      </x:c>
      <x:c r="D12" s="68" t="n">
        <x:f>'Inputs'!$B$6*B12+('Inputs'!$B$7+'Inputs'!$B$8)*C12</x:f>
        <x:v>1250</x:v>
      </x:c>
      <x:c r="E12" s="69" t="n">
        <x:f>LN((D12-'Inputs'!$B$6*B12)/(D12-('Inputs'!$B$6*B12+'Inputs'!$B$7*C12)))/9</x:f>
        <x:v>0.15403270679109896</x:v>
      </x:c>
      <x:c r="F12" s="68" t="n">
        <x:f>D12-(D12-'Inputs'!$B$6*B12)*EXP(-E12*(1-1))</x:f>
        <x:v>750</x:v>
      </x:c>
      <x:c r="G12" s="68" t="n">
        <x:f>D12-(D12-'Inputs'!$B$6*B12)*EXP(-E12*(2-1))</x:f>
        <x:v>821.3780085734636</x:v>
      </x:c>
      <x:c r="H12" s="68" t="n">
        <x:f>D12-(D12-'Inputs'!$B$6*B12)*EXP(-E12*(3-1))</x:f>
        <x:v>882.5663769311003</x:v>
      </x:c>
      <x:c r="I12" s="68" t="n">
        <x:f>D12-(D12-'Inputs'!$B$6*B12)*EXP(-E12*(4-1))</x:f>
        <x:v>935.0197375262817</x:v>
      </x:c>
      <x:c r="J12" s="68" t="n">
        <x:f>D12-(D12-'Inputs'!$B$6*B12)*EXP(-E12*(5-1))</x:f>
        <x:v>979.9850652769235</x:v>
      </x:c>
      <x:c r="K12" s="68" t="n">
        <x:f>D12-(D12-'Inputs'!$B$6*B12)*EXP(-E12*(6-1))</x:f>
        <x:v>1018.5313219281774</x:v>
      </x:c>
      <x:c r="L12" s="68" t="n">
        <x:f>D12-(D12-'Inputs'!$B$6*B12)*EXP(-E12*(7-1))</x:f>
        <x:v>1051.574868503975</x:v>
      </x:c>
      <x:c r="M12" s="68" t="n">
        <x:f>D12-(D12-'Inputs'!$B$6*B12)*EXP(-E12*(8-1))</x:f>
        <x:v>1079.901249978203</x:v>
      </x:c>
      <x:c r="N12" s="68" t="n">
        <x:f>D12-(D12-'Inputs'!$B$6*B12)*EXP(-E12*(9-1))</x:f>
        <x:v>1104.1838700529854</x:v>
      </x:c>
      <x:c r="O12" s="68" t="n">
        <x:f>D12-(D12-'Inputs'!$B$6*B12)*EXP(-E12*(10-1))</x:f>
        <x:v>1125</x:v>
      </x:c>
      <x:c r="P12" s="68" t="n">
        <x:f>D12-(D12-'Inputs'!$B$6*B12)*EXP(-E12*(11-1))</x:f>
        <x:v>1142.8445021433658</x:v>
      </x:c>
      <x:c r="Q12" s="68" t="n">
        <x:f>D12-(D12-'Inputs'!$B$6*B12)*EXP(-E12*(12-1))</x:f>
        <x:v>1158.141594232775</x:v>
      </x:c>
      <x:c r="R12" s="68" t="n">
        <x:f>D12-(D12-'Inputs'!$B$6*B12)*EXP(-E12*(13-1))</x:f>
        <x:v>1171.2549343815704</x:v>
      </x:c>
      <x:c r="S12" s="68" t="n">
        <x:f>D12-(D12-'Inputs'!$B$6*B12)*EXP(-E12*(14-1))</x:f>
        <x:v>1182.496266319231</x:v>
      </x:c>
      <x:c r="T12" s="68" t="n">
        <x:f>D12-(D12-'Inputs'!$B$6*B12)*EXP(-E12*(15-1))</x:f>
        <x:v>1192.1328304820443</x:v>
      </x:c>
      <x:c r="U12" s="68" t="n">
        <x:f>D12-(D12-'Inputs'!$B$6*B12)*EXP(-E12*(16-1))</x:f>
        <x:v>1200.3937171259938</x:v>
      </x:c>
      <x:c r="V12" s="68" t="n">
        <x:f>D12-(D12-'Inputs'!$B$6*B12)*EXP(-E12*(17-1))</x:f>
        <x:v>1207.4753124945507</x:v>
      </x:c>
      <x:c r="W12" s="68" t="n">
        <x:f>D12-(D12-'Inputs'!$B$6*B12)*EXP(-E12*(18-1))</x:f>
        <x:v>1213.5459675132463</x:v>
      </x:c>
      <x:c r="X12" s="68" t="n">
        <x:f>D12-(D12-'Inputs'!$B$6*B12)*EXP(-E12*(19-1))</x:f>
        <x:v>1218.75</x:v>
      </x:c>
      <x:c r="Y12" s="68" t="n">
        <x:f>D12-(D12-'Inputs'!$B$6*B12)*EXP(-E12*(20-1))</x:f>
        <x:v>1223.2111255358416</x:v>
      </x:c>
      <x:c r="Z12" s="79" t="n">
        <x:f>-SUMIF('Inputs'!$H$6:$H$14,"&lt;="&amp;'Inputs'!$B$17,'Inputs'!$I$6:$I$14)</x:f>
        <x:v>-22736320</x:v>
      </x:c>
      <x:c r="AA12" s="79" t="n">
        <x:f>Z12+(MIN(F12,'Inputs'!$B$17*'Inputs'!$B$16)*'Inputs'!$B$10-'Inputs'!$B$17*'Inputs'!$B$16*'Inputs'!$B$11-'Inputs'!$B$12)/(1+'Inputs'!$B$22)^1+(MIN(G12,'Inputs'!$B$17*'Inputs'!$B$16)*'Inputs'!$B$10-'Inputs'!$B$17*'Inputs'!$B$16*'Inputs'!$B$11-'Inputs'!$B$12)/(1+'Inputs'!$B$22)^2+(MIN(H12,'Inputs'!$B$17*'Inputs'!$B$16)*'Inputs'!$B$10-'Inputs'!$B$17*'Inputs'!$B$16*'Inputs'!$B$11-'Inputs'!$B$12)/(1+'Inputs'!$B$22)^3+(MIN(I12,'Inputs'!$B$17*'Inputs'!$B$16)*'Inputs'!$B$10-'Inputs'!$B$17*'Inputs'!$B$16*'Inputs'!$B$11-'Inputs'!$B$12)/(1+'Inputs'!$B$22)^4+(MIN(J12,'Inputs'!$B$17*'Inputs'!$B$16)*'Inputs'!$B$10-'Inputs'!$B$17*'Inputs'!$B$16*'Inputs'!$B$11-'Inputs'!$B$12)/(1+'Inputs'!$B$22)^5+(MIN(K12,'Inputs'!$B$17*'Inputs'!$B$16)*'Inputs'!$B$10-'Inputs'!$B$17*'Inputs'!$B$16*'Inputs'!$B$11-'Inputs'!$B$12)/(1+'Inputs'!$B$22)^6+(MIN(L12,'Inputs'!$B$17*'Inputs'!$B$16)*'Inputs'!$B$10-'Inputs'!$B$17*'Inputs'!$B$16*'Inputs'!$B$11-'Inputs'!$B$12)/(1+'Inputs'!$B$22)^7+(MIN(M12,'Inputs'!$B$17*'Inputs'!$B$16)*'Inputs'!$B$10-'Inputs'!$B$17*'Inputs'!$B$16*'Inputs'!$B$11-'Inputs'!$B$12)/(1+'Inputs'!$B$22)^8+(MIN(N12,'Inputs'!$B$17*'Inputs'!$B$16)*'Inputs'!$B$10-'Inputs'!$B$17*'Inputs'!$B$16*'Inputs'!$B$11-'Inputs'!$B$12)/(1+'Inputs'!$B$22)^9+(MIN(O12,'Inputs'!$B$17*'Inputs'!$B$16)*'Inputs'!$B$10-'Inputs'!$B$17*'Inputs'!$B$16*'Inputs'!$B$11-'Inputs'!$B$12)/(1+'Inputs'!$B$22)^10+(MIN(P12,'Inputs'!$B$17*'Inputs'!$B$16)*'Inputs'!$B$10-'Inputs'!$B$17*'Inputs'!$B$16*'Inputs'!$B$11-'Inputs'!$B$12)/(1+'Inputs'!$B$22)^11+(MIN(Q12,'Inputs'!$B$17*'Inputs'!$B$16)*'Inputs'!$B$10-'Inputs'!$B$17*'Inputs'!$B$16*'Inputs'!$B$11-'Inputs'!$B$12)/(1+'Inputs'!$B$22)^12+(MIN(R12,'Inputs'!$B$17*'Inputs'!$B$16)*'Inputs'!$B$10-'Inputs'!$B$17*'Inputs'!$B$16*'Inputs'!$B$11-'Inputs'!$B$12)/(1+'Inputs'!$B$22)^13+(MIN(S12,'Inputs'!$B$17*'Inputs'!$B$16)*'Inputs'!$B$10-'Inputs'!$B$17*'Inputs'!$B$16*'Inputs'!$B$11-'Inputs'!$B$12)/(1+'Inputs'!$B$22)^14+(MIN(T12,'Inputs'!$B$17*'Inputs'!$B$16)*'Inputs'!$B$10-'Inputs'!$B$17*'Inputs'!$B$16*'Inputs'!$B$11-'Inputs'!$B$12)/(1+'Inputs'!$B$22)^15+(MIN(U12,'Inputs'!$B$17*'Inputs'!$B$16)*'Inputs'!$B$10-'Inputs'!$B$17*'Inputs'!$B$16*'Inputs'!$B$11-'Inputs'!$B$12)/(1+'Inputs'!$B$22)^16+(MIN(V12,'Inputs'!$B$17*'Inputs'!$B$16)*'Inputs'!$B$10-'Inputs'!$B$17*'Inputs'!$B$16*'Inputs'!$B$11-'Inputs'!$B$12)/(1+'Inputs'!$B$22)^17+(MIN(W12,'Inputs'!$B$17*'Inputs'!$B$16)*'Inputs'!$B$10-'Inputs'!$B$17*'Inputs'!$B$16*'Inputs'!$B$11-'Inputs'!$B$12)/(1+'Inputs'!$B$22)^18+(MIN(X12,'Inputs'!$B$17*'Inputs'!$B$16)*'Inputs'!$B$10-'Inputs'!$B$17*'Inputs'!$B$16*'Inputs'!$B$11-'Inputs'!$B$12)/(1+'Inputs'!$B$22)^19+(MIN(Y12,'Inputs'!$B$17*'Inputs'!$B$16)*'Inputs'!$B$10-'Inputs'!$B$17*'Inputs'!$B$16*'Inputs'!$B$11-'Inputs'!$B$12)/(1+'Inputs'!$B$22)^20</x:f>
        <x:v>6801630.3157243235</x:v>
      </x:c>
    </x:row>
    <x:row r="13">
      <x:c r="A13" s="14" t="str">
        <x:v>Base opening / Base growth</x:v>
      </x:c>
      <x:c r="B13" s="116" t="n">
        <x:f>1</x:f>
        <x:v>1</x:v>
      </x:c>
      <x:c r="C13" s="116" t="n">
        <x:f>1</x:f>
        <x:v>1</x:v>
      </x:c>
      <x:c r="D13" s="68" t="n">
        <x:f>'Inputs'!$B$6*B13+('Inputs'!$B$7+'Inputs'!$B$8)*C13</x:f>
        <x:v>1750</x:v>
      </x:c>
      <x:c r="E13" s="69" t="n">
        <x:f>LN((D13-'Inputs'!$B$6*B13)/(D13-('Inputs'!$B$6*B13+'Inputs'!$B$7*C13)))/9</x:f>
        <x:v>0.15403270679109896</x:v>
      </x:c>
      <x:c r="F13" s="68" t="n">
        <x:f>D13-(D13-'Inputs'!$B$6*B13)*EXP(-E13*(1-1))</x:f>
        <x:v>750</x:v>
      </x:c>
      <x:c r="G13" s="68" t="n">
        <x:f>D13-(D13-'Inputs'!$B$6*B13)*EXP(-E13*(2-1))</x:f>
        <x:v>892.7560171469272</x:v>
      </x:c>
      <x:c r="H13" s="68" t="n">
        <x:f>D13-(D13-'Inputs'!$B$6*B13)*EXP(-E13*(3-1))</x:f>
        <x:v>1015.1327538622006</x:v>
      </x:c>
      <x:c r="I13" s="68" t="n">
        <x:f>D13-(D13-'Inputs'!$B$6*B13)*EXP(-E13*(4-1))</x:f>
        <x:v>1120.0394750525634</x:v>
      </x:c>
      <x:c r="J13" s="68" t="n">
        <x:f>D13-(D13-'Inputs'!$B$6*B13)*EXP(-E13*(5-1))</x:f>
        <x:v>1209.970130553847</x:v>
      </x:c>
      <x:c r="K13" s="68" t="n">
        <x:f>D13-(D13-'Inputs'!$B$6*B13)*EXP(-E13*(6-1))</x:f>
        <x:v>1287.0626438563547</x:v>
      </x:c>
      <x:c r="L13" s="68" t="n">
        <x:f>D13-(D13-'Inputs'!$B$6*B13)*EXP(-E13*(7-1))</x:f>
        <x:v>1353.14973700795</x:v>
      </x:c>
      <x:c r="M13" s="68" t="n">
        <x:f>D13-(D13-'Inputs'!$B$6*B13)*EXP(-E13*(8-1))</x:f>
        <x:v>1409.8024999564059</x:v>
      </x:c>
      <x:c r="N13" s="68" t="n">
        <x:f>D13-(D13-'Inputs'!$B$6*B13)*EXP(-E13*(9-1))</x:f>
        <x:v>1458.3677401059708</x:v>
      </x:c>
      <x:c r="O13" s="68" t="n">
        <x:f>D13-(D13-'Inputs'!$B$6*B13)*EXP(-E13*(10-1))</x:f>
        <x:v>1500</x:v>
      </x:c>
      <x:c r="P13" s="68" t="n">
        <x:f>D13-(D13-'Inputs'!$B$6*B13)*EXP(-E13*(11-1))</x:f>
        <x:v>1535.6890042867317</x:v>
      </x:c>
      <x:c r="Q13" s="68" t="n">
        <x:f>D13-(D13-'Inputs'!$B$6*B13)*EXP(-E13*(12-1))</x:f>
        <x:v>1566.2831884655502</x:v>
      </x:c>
      <x:c r="R13" s="68" t="n">
        <x:f>D13-(D13-'Inputs'!$B$6*B13)*EXP(-E13*(13-1))</x:f>
        <x:v>1592.509868763141</x:v>
      </x:c>
      <x:c r="S13" s="68" t="n">
        <x:f>D13-(D13-'Inputs'!$B$6*B13)*EXP(-E13*(14-1))</x:f>
        <x:v>1614.9925326384619</x:v>
      </x:c>
      <x:c r="T13" s="68" t="n">
        <x:f>D13-(D13-'Inputs'!$B$6*B13)*EXP(-E13*(15-1))</x:f>
        <x:v>1634.2656609640887</x:v>
      </x:c>
      <x:c r="U13" s="68" t="n">
        <x:f>D13-(D13-'Inputs'!$B$6*B13)*EXP(-E13*(16-1))</x:f>
        <x:v>1650.7874342519876</x:v>
      </x:c>
      <x:c r="V13" s="68" t="n">
        <x:f>D13-(D13-'Inputs'!$B$6*B13)*EXP(-E13*(17-1))</x:f>
        <x:v>1664.9506249891015</x:v>
      </x:c>
      <x:c r="W13" s="68" t="n">
        <x:f>D13-(D13-'Inputs'!$B$6*B13)*EXP(-E13*(18-1))</x:f>
        <x:v>1677.0919350264926</x:v>
      </x:c>
      <x:c r="X13" s="68" t="n">
        <x:f>D13-(D13-'Inputs'!$B$6*B13)*EXP(-E13*(19-1))</x:f>
        <x:v>1687.5</x:v>
      </x:c>
      <x:c r="Y13" s="68" t="n">
        <x:f>D13-(D13-'Inputs'!$B$6*B13)*EXP(-E13*(20-1))</x:f>
        <x:v>1696.422251071683</x:v>
      </x:c>
      <x:c r="Z13" s="79" t="n">
        <x:f>-SUMIF('Inputs'!$H$6:$H$14,"&lt;="&amp;'Inputs'!$B$17,'Inputs'!$I$6:$I$14)</x:f>
        <x:v>-22736320</x:v>
      </x:c>
      <x:c r="AA13" s="79" t="n">
        <x:f>Z13+(MIN(F13,'Inputs'!$B$17*'Inputs'!$B$16)*'Inputs'!$B$10-'Inputs'!$B$17*'Inputs'!$B$16*'Inputs'!$B$11-'Inputs'!$B$12)/(1+'Inputs'!$B$22)^1+(MIN(G13,'Inputs'!$B$17*'Inputs'!$B$16)*'Inputs'!$B$10-'Inputs'!$B$17*'Inputs'!$B$16*'Inputs'!$B$11-'Inputs'!$B$12)/(1+'Inputs'!$B$22)^2+(MIN(H13,'Inputs'!$B$17*'Inputs'!$B$16)*'Inputs'!$B$10-'Inputs'!$B$17*'Inputs'!$B$16*'Inputs'!$B$11-'Inputs'!$B$12)/(1+'Inputs'!$B$22)^3+(MIN(I13,'Inputs'!$B$17*'Inputs'!$B$16)*'Inputs'!$B$10-'Inputs'!$B$17*'Inputs'!$B$16*'Inputs'!$B$11-'Inputs'!$B$12)/(1+'Inputs'!$B$22)^4+(MIN(J13,'Inputs'!$B$17*'Inputs'!$B$16)*'Inputs'!$B$10-'Inputs'!$B$17*'Inputs'!$B$16*'Inputs'!$B$11-'Inputs'!$B$12)/(1+'Inputs'!$B$22)^5+(MIN(K13,'Inputs'!$B$17*'Inputs'!$B$16)*'Inputs'!$B$10-'Inputs'!$B$17*'Inputs'!$B$16*'Inputs'!$B$11-'Inputs'!$B$12)/(1+'Inputs'!$B$22)^6+(MIN(L13,'Inputs'!$B$17*'Inputs'!$B$16)*'Inputs'!$B$10-'Inputs'!$B$17*'Inputs'!$B$16*'Inputs'!$B$11-'Inputs'!$B$12)/(1+'Inputs'!$B$22)^7+(MIN(M13,'Inputs'!$B$17*'Inputs'!$B$16)*'Inputs'!$B$10-'Inputs'!$B$17*'Inputs'!$B$16*'Inputs'!$B$11-'Inputs'!$B$12)/(1+'Inputs'!$B$22)^8+(MIN(N13,'Inputs'!$B$17*'Inputs'!$B$16)*'Inputs'!$B$10-'Inputs'!$B$17*'Inputs'!$B$16*'Inputs'!$B$11-'Inputs'!$B$12)/(1+'Inputs'!$B$22)^9+(MIN(O13,'Inputs'!$B$17*'Inputs'!$B$16)*'Inputs'!$B$10-'Inputs'!$B$17*'Inputs'!$B$16*'Inputs'!$B$11-'Inputs'!$B$12)/(1+'Inputs'!$B$22)^10+(MIN(P13,'Inputs'!$B$17*'Inputs'!$B$16)*'Inputs'!$B$10-'Inputs'!$B$17*'Inputs'!$B$16*'Inputs'!$B$11-'Inputs'!$B$12)/(1+'Inputs'!$B$22)^11+(MIN(Q13,'Inputs'!$B$17*'Inputs'!$B$16)*'Inputs'!$B$10-'Inputs'!$B$17*'Inputs'!$B$16*'Inputs'!$B$11-'Inputs'!$B$12)/(1+'Inputs'!$B$22)^12+(MIN(R13,'Inputs'!$B$17*'Inputs'!$B$16)*'Inputs'!$B$10-'Inputs'!$B$17*'Inputs'!$B$16*'Inputs'!$B$11-'Inputs'!$B$12)/(1+'Inputs'!$B$22)^13+(MIN(S13,'Inputs'!$B$17*'Inputs'!$B$16)*'Inputs'!$B$10-'Inputs'!$B$17*'Inputs'!$B$16*'Inputs'!$B$11-'Inputs'!$B$12)/(1+'Inputs'!$B$22)^14+(MIN(T13,'Inputs'!$B$17*'Inputs'!$B$16)*'Inputs'!$B$10-'Inputs'!$B$17*'Inputs'!$B$16*'Inputs'!$B$11-'Inputs'!$B$12)/(1+'Inputs'!$B$22)^15+(MIN(U13,'Inputs'!$B$17*'Inputs'!$B$16)*'Inputs'!$B$10-'Inputs'!$B$17*'Inputs'!$B$16*'Inputs'!$B$11-'Inputs'!$B$12)/(1+'Inputs'!$B$22)^16+(MIN(V13,'Inputs'!$B$17*'Inputs'!$B$16)*'Inputs'!$B$10-'Inputs'!$B$17*'Inputs'!$B$16*'Inputs'!$B$11-'Inputs'!$B$12)/(1+'Inputs'!$B$22)^17+(MIN(W13,'Inputs'!$B$17*'Inputs'!$B$16)*'Inputs'!$B$10-'Inputs'!$B$17*'Inputs'!$B$16*'Inputs'!$B$11-'Inputs'!$B$12)/(1+'Inputs'!$B$22)^18+(MIN(X13,'Inputs'!$B$17*'Inputs'!$B$16)*'Inputs'!$B$10-'Inputs'!$B$17*'Inputs'!$B$16*'Inputs'!$B$11-'Inputs'!$B$12)/(1+'Inputs'!$B$22)^19+(MIN(Y13,'Inputs'!$B$17*'Inputs'!$B$16)*'Inputs'!$B$10-'Inputs'!$B$17*'Inputs'!$B$16*'Inputs'!$B$11-'Inputs'!$B$12)/(1+'Inputs'!$B$22)^20</x:f>
        <x:v>13789142.24834598</x:v>
      </x:c>
    </x:row>
    <x:row r="14">
      <x:c r="A14" s="14" t="str">
        <x:v>Base opening / High growth</x:v>
      </x:c>
      <x:c r="B14" s="116" t="n">
        <x:f>1</x:f>
        <x:v>1</x:v>
      </x:c>
      <x:c r="C14" s="116" t="n">
        <x:f>1+'Inputs'!$B$23</x:f>
        <x:v>1.5</x:v>
      </x:c>
      <x:c r="D14" s="68" t="n">
        <x:f>'Inputs'!$B$6*B14+('Inputs'!$B$7+'Inputs'!$B$8)*C14</x:f>
        <x:v>2250</x:v>
      </x:c>
      <x:c r="E14" s="69" t="n">
        <x:f>LN((D14-'Inputs'!$B$6*B14)/(D14-('Inputs'!$B$6*B14+'Inputs'!$B$7*C14)))/9</x:f>
        <x:v>0.15403270679109896</x:v>
      </x:c>
      <x:c r="F14" s="68" t="n">
        <x:f>D14-(D14-'Inputs'!$B$6*B14)*EXP(-E14*(1-1))</x:f>
        <x:v>750</x:v>
      </x:c>
      <x:c r="G14" s="68" t="n">
        <x:f>D14-(D14-'Inputs'!$B$6*B14)*EXP(-E14*(2-1))</x:f>
        <x:v>964.1340257203908</x:v>
      </x:c>
      <x:c r="H14" s="68" t="n">
        <x:f>D14-(D14-'Inputs'!$B$6*B14)*EXP(-E14*(3-1))</x:f>
        <x:v>1147.6991307933008</x:v>
      </x:c>
      <x:c r="I14" s="68" t="n">
        <x:f>D14-(D14-'Inputs'!$B$6*B14)*EXP(-E14*(4-1))</x:f>
        <x:v>1305.059212578845</x:v>
      </x:c>
      <x:c r="J14" s="68" t="n">
        <x:f>D14-(D14-'Inputs'!$B$6*B14)*EXP(-E14*(5-1))</x:f>
        <x:v>1439.9551958307704</x:v>
      </x:c>
      <x:c r="K14" s="68" t="n">
        <x:f>D14-(D14-'Inputs'!$B$6*B14)*EXP(-E14*(6-1))</x:f>
        <x:v>1555.5939657845322</x:v>
      </x:c>
      <x:c r="L14" s="68" t="n">
        <x:f>D14-(D14-'Inputs'!$B$6*B14)*EXP(-E14*(7-1))</x:f>
        <x:v>1654.7246055119253</x:v>
      </x:c>
      <x:c r="M14" s="68" t="n">
        <x:f>D14-(D14-'Inputs'!$B$6*B14)*EXP(-E14*(8-1))</x:f>
        <x:v>1739.7037499346086</x:v>
      </x:c>
      <x:c r="N14" s="68" t="n">
        <x:f>D14-(D14-'Inputs'!$B$6*B14)*EXP(-E14*(9-1))</x:f>
        <x:v>1812.5516101589562</x:v>
      </x:c>
      <x:c r="O14" s="68" t="n">
        <x:f>D14-(D14-'Inputs'!$B$6*B14)*EXP(-E14*(10-1))</x:f>
        <x:v>1875</x:v>
      </x:c>
      <x:c r="P14" s="68" t="n">
        <x:f>D14-(D14-'Inputs'!$B$6*B14)*EXP(-E14*(11-1))</x:f>
        <x:v>1928.5335064300975</x:v>
      </x:c>
      <x:c r="Q14" s="68" t="n">
        <x:f>D14-(D14-'Inputs'!$B$6*B14)*EXP(-E14*(12-1))</x:f>
        <x:v>1974.424782698325</x:v>
      </x:c>
      <x:c r="R14" s="68" t="n">
        <x:f>D14-(D14-'Inputs'!$B$6*B14)*EXP(-E14*(13-1))</x:f>
        <x:v>2013.7648031447113</x:v>
      </x:c>
      <x:c r="S14" s="68" t="n">
        <x:f>D14-(D14-'Inputs'!$B$6*B14)*EXP(-E14*(14-1))</x:f>
        <x:v>2047.4887989576926</x:v>
      </x:c>
      <x:c r="T14" s="68" t="n">
        <x:f>D14-(D14-'Inputs'!$B$6*B14)*EXP(-E14*(15-1))</x:f>
        <x:v>2076.398491446133</x:v>
      </x:c>
      <x:c r="U14" s="68" t="n">
        <x:f>D14-(D14-'Inputs'!$B$6*B14)*EXP(-E14*(16-1))</x:f>
        <x:v>2101.181151377981</x:v>
      </x:c>
      <x:c r="V14" s="68" t="n">
        <x:f>D14-(D14-'Inputs'!$B$6*B14)*EXP(-E14*(17-1))</x:f>
        <x:v>2122.425937483652</x:v>
      </x:c>
      <x:c r="W14" s="68" t="n">
        <x:f>D14-(D14-'Inputs'!$B$6*B14)*EXP(-E14*(18-1))</x:f>
        <x:v>2140.637902539739</x:v>
      </x:c>
      <x:c r="X14" s="68" t="n">
        <x:f>D14-(D14-'Inputs'!$B$6*B14)*EXP(-E14*(19-1))</x:f>
        <x:v>2156.25</x:v>
      </x:c>
      <x:c r="Y14" s="68" t="n">
        <x:f>D14-(D14-'Inputs'!$B$6*B14)*EXP(-E14*(20-1))</x:f>
        <x:v>2169.6333766075245</x:v>
      </x:c>
      <x:c r="Z14" s="79" t="n">
        <x:f>-SUMIF('Inputs'!$H$6:$H$14,"&lt;="&amp;'Inputs'!$B$17,'Inputs'!$I$6:$I$14)</x:f>
        <x:v>-22736320</x:v>
      </x:c>
      <x:c r="AA14" s="79" t="n">
        <x:f>Z14+(MIN(F14,'Inputs'!$B$17*'Inputs'!$B$16)*'Inputs'!$B$10-'Inputs'!$B$17*'Inputs'!$B$16*'Inputs'!$B$11-'Inputs'!$B$12)/(1+'Inputs'!$B$22)^1+(MIN(G14,'Inputs'!$B$17*'Inputs'!$B$16)*'Inputs'!$B$10-'Inputs'!$B$17*'Inputs'!$B$16*'Inputs'!$B$11-'Inputs'!$B$12)/(1+'Inputs'!$B$22)^2+(MIN(H14,'Inputs'!$B$17*'Inputs'!$B$16)*'Inputs'!$B$10-'Inputs'!$B$17*'Inputs'!$B$16*'Inputs'!$B$11-'Inputs'!$B$12)/(1+'Inputs'!$B$22)^3+(MIN(I14,'Inputs'!$B$17*'Inputs'!$B$16)*'Inputs'!$B$10-'Inputs'!$B$17*'Inputs'!$B$16*'Inputs'!$B$11-'Inputs'!$B$12)/(1+'Inputs'!$B$22)^4+(MIN(J14,'Inputs'!$B$17*'Inputs'!$B$16)*'Inputs'!$B$10-'Inputs'!$B$17*'Inputs'!$B$16*'Inputs'!$B$11-'Inputs'!$B$12)/(1+'Inputs'!$B$22)^5+(MIN(K14,'Inputs'!$B$17*'Inputs'!$B$16)*'Inputs'!$B$10-'Inputs'!$B$17*'Inputs'!$B$16*'Inputs'!$B$11-'Inputs'!$B$12)/(1+'Inputs'!$B$22)^6+(MIN(L14,'Inputs'!$B$17*'Inputs'!$B$16)*'Inputs'!$B$10-'Inputs'!$B$17*'Inputs'!$B$16*'Inputs'!$B$11-'Inputs'!$B$12)/(1+'Inputs'!$B$22)^7+(MIN(M14,'Inputs'!$B$17*'Inputs'!$B$16)*'Inputs'!$B$10-'Inputs'!$B$17*'Inputs'!$B$16*'Inputs'!$B$11-'Inputs'!$B$12)/(1+'Inputs'!$B$22)^8+(MIN(N14,'Inputs'!$B$17*'Inputs'!$B$16)*'Inputs'!$B$10-'Inputs'!$B$17*'Inputs'!$B$16*'Inputs'!$B$11-'Inputs'!$B$12)/(1+'Inputs'!$B$22)^9+(MIN(O14,'Inputs'!$B$17*'Inputs'!$B$16)*'Inputs'!$B$10-'Inputs'!$B$17*'Inputs'!$B$16*'Inputs'!$B$11-'Inputs'!$B$12)/(1+'Inputs'!$B$22)^10+(MIN(P14,'Inputs'!$B$17*'Inputs'!$B$16)*'Inputs'!$B$10-'Inputs'!$B$17*'Inputs'!$B$16*'Inputs'!$B$11-'Inputs'!$B$12)/(1+'Inputs'!$B$22)^11+(MIN(Q14,'Inputs'!$B$17*'Inputs'!$B$16)*'Inputs'!$B$10-'Inputs'!$B$17*'Inputs'!$B$16*'Inputs'!$B$11-'Inputs'!$B$12)/(1+'Inputs'!$B$22)^12+(MIN(R14,'Inputs'!$B$17*'Inputs'!$B$16)*'Inputs'!$B$10-'Inputs'!$B$17*'Inputs'!$B$16*'Inputs'!$B$11-'Inputs'!$B$12)/(1+'Inputs'!$B$22)^13+(MIN(S14,'Inputs'!$B$17*'Inputs'!$B$16)*'Inputs'!$B$10-'Inputs'!$B$17*'Inputs'!$B$16*'Inputs'!$B$11-'Inputs'!$B$12)/(1+'Inputs'!$B$22)^14+(MIN(T14,'Inputs'!$B$17*'Inputs'!$B$16)*'Inputs'!$B$10-'Inputs'!$B$17*'Inputs'!$B$16*'Inputs'!$B$11-'Inputs'!$B$12)/(1+'Inputs'!$B$22)^15+(MIN(U14,'Inputs'!$B$17*'Inputs'!$B$16)*'Inputs'!$B$10-'Inputs'!$B$17*'Inputs'!$B$16*'Inputs'!$B$11-'Inputs'!$B$12)/(1+'Inputs'!$B$22)^16+(MIN(V14,'Inputs'!$B$17*'Inputs'!$B$16)*'Inputs'!$B$10-'Inputs'!$B$17*'Inputs'!$B$16*'Inputs'!$B$11-'Inputs'!$B$12)/(1+'Inputs'!$B$22)^17+(MIN(W14,'Inputs'!$B$17*'Inputs'!$B$16)*'Inputs'!$B$10-'Inputs'!$B$17*'Inputs'!$B$16*'Inputs'!$B$11-'Inputs'!$B$12)/(1+'Inputs'!$B$22)^18+(MIN(X14,'Inputs'!$B$17*'Inputs'!$B$16)*'Inputs'!$B$10-'Inputs'!$B$17*'Inputs'!$B$16*'Inputs'!$B$11-'Inputs'!$B$12)/(1+'Inputs'!$B$22)^19+(MIN(Y14,'Inputs'!$B$17*'Inputs'!$B$16)*'Inputs'!$B$10-'Inputs'!$B$17*'Inputs'!$B$16*'Inputs'!$B$11-'Inputs'!$B$12)/(1+'Inputs'!$B$22)^20</x:f>
        <x:v>15809908.240477288</x:v>
      </x:c>
    </x:row>
    <x:row r="15">
      <x:c r="A15" s="14" t="str">
        <x:v>High opening / Low growth</x:v>
      </x:c>
      <x:c r="B15" s="116" t="n">
        <x:f>1+'Inputs'!$B$23</x:f>
        <x:v>1.5</x:v>
      </x:c>
      <x:c r="C15" s="116" t="n">
        <x:f>1-'Inputs'!$B$23</x:f>
        <x:v>0.5</x:v>
      </x:c>
      <x:c r="D15" s="68" t="n">
        <x:f>'Inputs'!$B$6*B15+('Inputs'!$B$7+'Inputs'!$B$8)*C15</x:f>
        <x:v>1625</x:v>
      </x:c>
      <x:c r="E15" s="69" t="n">
        <x:f>LN((D15-'Inputs'!$B$6*B15)/(D15-('Inputs'!$B$6*B15+'Inputs'!$B$7*C15)))/9</x:f>
        <x:v>0.15403270679109896</x:v>
      </x:c>
      <x:c r="F15" s="68" t="n">
        <x:f>D15-(D15-'Inputs'!$B$6*B15)*EXP(-E15*(1-1))</x:f>
        <x:v>1125</x:v>
      </x:c>
      <x:c r="G15" s="68" t="n">
        <x:f>D15-(D15-'Inputs'!$B$6*B15)*EXP(-E15*(2-1))</x:f>
        <x:v>1196.3780085734636</x:v>
      </x:c>
      <x:c r="H15" s="68" t="n">
        <x:f>D15-(D15-'Inputs'!$B$6*B15)*EXP(-E15*(3-1))</x:f>
        <x:v>1257.5663769311004</x:v>
      </x:c>
      <x:c r="I15" s="68" t="n">
        <x:f>D15-(D15-'Inputs'!$B$6*B15)*EXP(-E15*(4-1))</x:f>
        <x:v>1310.0197375262817</x:v>
      </x:c>
      <x:c r="J15" s="68" t="n">
        <x:f>D15-(D15-'Inputs'!$B$6*B15)*EXP(-E15*(5-1))</x:f>
        <x:v>1354.9850652769235</x:v>
      </x:c>
      <x:c r="K15" s="68" t="n">
        <x:f>D15-(D15-'Inputs'!$B$6*B15)*EXP(-E15*(6-1))</x:f>
        <x:v>1393.5313219281775</x:v>
      </x:c>
      <x:c r="L15" s="68" t="n">
        <x:f>D15-(D15-'Inputs'!$B$6*B15)*EXP(-E15*(7-1))</x:f>
        <x:v>1426.574868503975</x:v>
      </x:c>
      <x:c r="M15" s="68" t="n">
        <x:f>D15-(D15-'Inputs'!$B$6*B15)*EXP(-E15*(8-1))</x:f>
        <x:v>1454.901249978203</x:v>
      </x:c>
      <x:c r="N15" s="68" t="n">
        <x:f>D15-(D15-'Inputs'!$B$6*B15)*EXP(-E15*(9-1))</x:f>
        <x:v>1479.1838700529854</x:v>
      </x:c>
      <x:c r="O15" s="68" t="n">
        <x:f>D15-(D15-'Inputs'!$B$6*B15)*EXP(-E15*(10-1))</x:f>
        <x:v>1500</x:v>
      </x:c>
      <x:c r="P15" s="68" t="n">
        <x:f>D15-(D15-'Inputs'!$B$6*B15)*EXP(-E15*(11-1))</x:f>
        <x:v>1517.8445021433658</x:v>
      </x:c>
      <x:c r="Q15" s="68" t="n">
        <x:f>D15-(D15-'Inputs'!$B$6*B15)*EXP(-E15*(12-1))</x:f>
        <x:v>1533.141594232775</x:v>
      </x:c>
      <x:c r="R15" s="68" t="n">
        <x:f>D15-(D15-'Inputs'!$B$6*B15)*EXP(-E15*(13-1))</x:f>
        <x:v>1546.2549343815704</x:v>
      </x:c>
      <x:c r="S15" s="68" t="n">
        <x:f>D15-(D15-'Inputs'!$B$6*B15)*EXP(-E15*(14-1))</x:f>
        <x:v>1557.496266319231</x:v>
      </x:c>
      <x:c r="T15" s="68" t="n">
        <x:f>D15-(D15-'Inputs'!$B$6*B15)*EXP(-E15*(15-1))</x:f>
        <x:v>1567.1328304820443</x:v>
      </x:c>
      <x:c r="U15" s="68" t="n">
        <x:f>D15-(D15-'Inputs'!$B$6*B15)*EXP(-E15*(16-1))</x:f>
        <x:v>1575.3937171259938</x:v>
      </x:c>
      <x:c r="V15" s="68" t="n">
        <x:f>D15-(D15-'Inputs'!$B$6*B15)*EXP(-E15*(17-1))</x:f>
        <x:v>1582.4753124945507</x:v>
      </x:c>
      <x:c r="W15" s="68" t="n">
        <x:f>D15-(D15-'Inputs'!$B$6*B15)*EXP(-E15*(18-1))</x:f>
        <x:v>1588.5459675132463</x:v>
      </x:c>
      <x:c r="X15" s="68" t="n">
        <x:f>D15-(D15-'Inputs'!$B$6*B15)*EXP(-E15*(19-1))</x:f>
        <x:v>1593.75</x:v>
      </x:c>
      <x:c r="Y15" s="68" t="n">
        <x:f>D15-(D15-'Inputs'!$B$6*B15)*EXP(-E15*(20-1))</x:f>
        <x:v>1598.2111255358416</x:v>
      </x:c>
      <x:c r="Z15" s="79" t="n">
        <x:f>-SUMIF('Inputs'!$H$6:$H$14,"&lt;="&amp;'Inputs'!$B$17,'Inputs'!$I$6:$I$14)</x:f>
        <x:v>-22736320</x:v>
      </x:c>
      <x:c r="AA15" s="79" t="n">
        <x:f>Z15+(MIN(F15,'Inputs'!$B$17*'Inputs'!$B$16)*'Inputs'!$B$10-'Inputs'!$B$17*'Inputs'!$B$16*'Inputs'!$B$11-'Inputs'!$B$12)/(1+'Inputs'!$B$22)^1+(MIN(G15,'Inputs'!$B$17*'Inputs'!$B$16)*'Inputs'!$B$10-'Inputs'!$B$17*'Inputs'!$B$16*'Inputs'!$B$11-'Inputs'!$B$12)/(1+'Inputs'!$B$22)^2+(MIN(H15,'Inputs'!$B$17*'Inputs'!$B$16)*'Inputs'!$B$10-'Inputs'!$B$17*'Inputs'!$B$16*'Inputs'!$B$11-'Inputs'!$B$12)/(1+'Inputs'!$B$22)^3+(MIN(I15,'Inputs'!$B$17*'Inputs'!$B$16)*'Inputs'!$B$10-'Inputs'!$B$17*'Inputs'!$B$16*'Inputs'!$B$11-'Inputs'!$B$12)/(1+'Inputs'!$B$22)^4+(MIN(J15,'Inputs'!$B$17*'Inputs'!$B$16)*'Inputs'!$B$10-'Inputs'!$B$17*'Inputs'!$B$16*'Inputs'!$B$11-'Inputs'!$B$12)/(1+'Inputs'!$B$22)^5+(MIN(K15,'Inputs'!$B$17*'Inputs'!$B$16)*'Inputs'!$B$10-'Inputs'!$B$17*'Inputs'!$B$16*'Inputs'!$B$11-'Inputs'!$B$12)/(1+'Inputs'!$B$22)^6+(MIN(L15,'Inputs'!$B$17*'Inputs'!$B$16)*'Inputs'!$B$10-'Inputs'!$B$17*'Inputs'!$B$16*'Inputs'!$B$11-'Inputs'!$B$12)/(1+'Inputs'!$B$22)^7+(MIN(M15,'Inputs'!$B$17*'Inputs'!$B$16)*'Inputs'!$B$10-'Inputs'!$B$17*'Inputs'!$B$16*'Inputs'!$B$11-'Inputs'!$B$12)/(1+'Inputs'!$B$22)^8+(MIN(N15,'Inputs'!$B$17*'Inputs'!$B$16)*'Inputs'!$B$10-'Inputs'!$B$17*'Inputs'!$B$16*'Inputs'!$B$11-'Inputs'!$B$12)/(1+'Inputs'!$B$22)^9+(MIN(O15,'Inputs'!$B$17*'Inputs'!$B$16)*'Inputs'!$B$10-'Inputs'!$B$17*'Inputs'!$B$16*'Inputs'!$B$11-'Inputs'!$B$12)/(1+'Inputs'!$B$22)^10+(MIN(P15,'Inputs'!$B$17*'Inputs'!$B$16)*'Inputs'!$B$10-'Inputs'!$B$17*'Inputs'!$B$16*'Inputs'!$B$11-'Inputs'!$B$12)/(1+'Inputs'!$B$22)^11+(MIN(Q15,'Inputs'!$B$17*'Inputs'!$B$16)*'Inputs'!$B$10-'Inputs'!$B$17*'Inputs'!$B$16*'Inputs'!$B$11-'Inputs'!$B$12)/(1+'Inputs'!$B$22)^12+(MIN(R15,'Inputs'!$B$17*'Inputs'!$B$16)*'Inputs'!$B$10-'Inputs'!$B$17*'Inputs'!$B$16*'Inputs'!$B$11-'Inputs'!$B$12)/(1+'Inputs'!$B$22)^13+(MIN(S15,'Inputs'!$B$17*'Inputs'!$B$16)*'Inputs'!$B$10-'Inputs'!$B$17*'Inputs'!$B$16*'Inputs'!$B$11-'Inputs'!$B$12)/(1+'Inputs'!$B$22)^14+(MIN(T15,'Inputs'!$B$17*'Inputs'!$B$16)*'Inputs'!$B$10-'Inputs'!$B$17*'Inputs'!$B$16*'Inputs'!$B$11-'Inputs'!$B$12)/(1+'Inputs'!$B$22)^15+(MIN(U15,'Inputs'!$B$17*'Inputs'!$B$16)*'Inputs'!$B$10-'Inputs'!$B$17*'Inputs'!$B$16*'Inputs'!$B$11-'Inputs'!$B$12)/(1+'Inputs'!$B$22)^16+(MIN(V15,'Inputs'!$B$17*'Inputs'!$B$16)*'Inputs'!$B$10-'Inputs'!$B$17*'Inputs'!$B$16*'Inputs'!$B$11-'Inputs'!$B$12)/(1+'Inputs'!$B$22)^17+(MIN(W15,'Inputs'!$B$17*'Inputs'!$B$16)*'Inputs'!$B$10-'Inputs'!$B$17*'Inputs'!$B$16*'Inputs'!$B$11-'Inputs'!$B$12)/(1+'Inputs'!$B$22)^18+(MIN(X15,'Inputs'!$B$17*'Inputs'!$B$16)*'Inputs'!$B$10-'Inputs'!$B$17*'Inputs'!$B$16*'Inputs'!$B$11-'Inputs'!$B$12)/(1+'Inputs'!$B$22)^19+(MIN(Y15,'Inputs'!$B$17*'Inputs'!$B$16)*'Inputs'!$B$10-'Inputs'!$B$17*'Inputs'!$B$16*'Inputs'!$B$11-'Inputs'!$B$12)/(1+'Inputs'!$B$22)^20</x:f>
        <x:v>21381824.594924923</x:v>
      </x:c>
    </x:row>
    <x:row r="16">
      <x:c r="A16" s="14" t="str">
        <x:v>High opening / Base growth</x:v>
      </x:c>
      <x:c r="B16" s="116" t="n">
        <x:f>1+'Inputs'!$B$23</x:f>
        <x:v>1.5</x:v>
      </x:c>
      <x:c r="C16" s="116" t="n">
        <x:f>1</x:f>
        <x:v>1</x:v>
      </x:c>
      <x:c r="D16" s="68" t="n">
        <x:f>'Inputs'!$B$6*B16+('Inputs'!$B$7+'Inputs'!$B$8)*C16</x:f>
        <x:v>2125</x:v>
      </x:c>
      <x:c r="E16" s="69" t="n">
        <x:f>LN((D16-'Inputs'!$B$6*B16)/(D16-('Inputs'!$B$6*B16+'Inputs'!$B$7*C16)))/9</x:f>
        <x:v>0.15403270679109896</x:v>
      </x:c>
      <x:c r="F16" s="68" t="n">
        <x:f>D16-(D16-'Inputs'!$B$6*B16)*EXP(-E16*(1-1))</x:f>
        <x:v>1125</x:v>
      </x:c>
      <x:c r="G16" s="68" t="n">
        <x:f>D16-(D16-'Inputs'!$B$6*B16)*EXP(-E16*(2-1))</x:f>
        <x:v>1267.7560171469272</x:v>
      </x:c>
      <x:c r="H16" s="68" t="n">
        <x:f>D16-(D16-'Inputs'!$B$6*B16)*EXP(-E16*(3-1))</x:f>
        <x:v>1390.1327538622006</x:v>
      </x:c>
      <x:c r="I16" s="68" t="n">
        <x:f>D16-(D16-'Inputs'!$B$6*B16)*EXP(-E16*(4-1))</x:f>
        <x:v>1495.0394750525634</x:v>
      </x:c>
      <x:c r="J16" s="68" t="n">
        <x:f>D16-(D16-'Inputs'!$B$6*B16)*EXP(-E16*(5-1))</x:f>
        <x:v>1584.970130553847</x:v>
      </x:c>
      <x:c r="K16" s="68" t="n">
        <x:f>D16-(D16-'Inputs'!$B$6*B16)*EXP(-E16*(6-1))</x:f>
        <x:v>1662.0626438563547</x:v>
      </x:c>
      <x:c r="L16" s="68" t="n">
        <x:f>D16-(D16-'Inputs'!$B$6*B16)*EXP(-E16*(7-1))</x:f>
        <x:v>1728.14973700795</x:v>
      </x:c>
      <x:c r="M16" s="68" t="n">
        <x:f>D16-(D16-'Inputs'!$B$6*B16)*EXP(-E16*(8-1))</x:f>
        <x:v>1784.8024999564059</x:v>
      </x:c>
      <x:c r="N16" s="68" t="n">
        <x:f>D16-(D16-'Inputs'!$B$6*B16)*EXP(-E16*(9-1))</x:f>
        <x:v>1833.3677401059708</x:v>
      </x:c>
      <x:c r="O16" s="68" t="n">
        <x:f>D16-(D16-'Inputs'!$B$6*B16)*EXP(-E16*(10-1))</x:f>
        <x:v>1875</x:v>
      </x:c>
      <x:c r="P16" s="68" t="n">
        <x:f>D16-(D16-'Inputs'!$B$6*B16)*EXP(-E16*(11-1))</x:f>
        <x:v>1910.6890042867317</x:v>
      </x:c>
      <x:c r="Q16" s="68" t="n">
        <x:f>D16-(D16-'Inputs'!$B$6*B16)*EXP(-E16*(12-1))</x:f>
        <x:v>1941.2831884655502</x:v>
      </x:c>
      <x:c r="R16" s="68" t="n">
        <x:f>D16-(D16-'Inputs'!$B$6*B16)*EXP(-E16*(13-1))</x:f>
        <x:v>1967.509868763141</x:v>
      </x:c>
      <x:c r="S16" s="68" t="n">
        <x:f>D16-(D16-'Inputs'!$B$6*B16)*EXP(-E16*(14-1))</x:f>
        <x:v>1989.9925326384619</x:v>
      </x:c>
      <x:c r="T16" s="68" t="n">
        <x:f>D16-(D16-'Inputs'!$B$6*B16)*EXP(-E16*(15-1))</x:f>
        <x:v>2009.2656609640887</x:v>
      </x:c>
      <x:c r="U16" s="68" t="n">
        <x:f>D16-(D16-'Inputs'!$B$6*B16)*EXP(-E16*(16-1))</x:f>
        <x:v>2025.7874342519876</x:v>
      </x:c>
      <x:c r="V16" s="68" t="n">
        <x:f>D16-(D16-'Inputs'!$B$6*B16)*EXP(-E16*(17-1))</x:f>
        <x:v>2039.9506249891015</x:v>
      </x:c>
      <x:c r="W16" s="68" t="n">
        <x:f>D16-(D16-'Inputs'!$B$6*B16)*EXP(-E16*(18-1))</x:f>
        <x:v>2052.0919350264926</x:v>
      </x:c>
      <x:c r="X16" s="68" t="n">
        <x:f>D16-(D16-'Inputs'!$B$6*B16)*EXP(-E16*(19-1))</x:f>
        <x:v>2062.5</x:v>
      </x:c>
      <x:c r="Y16" s="68" t="n">
        <x:f>D16-(D16-'Inputs'!$B$6*B16)*EXP(-E16*(20-1))</x:f>
        <x:v>2071.422251071683</x:v>
      </x:c>
      <x:c r="Z16" s="79" t="n">
        <x:f>-SUMIF('Inputs'!$H$6:$H$14,"&lt;="&amp;'Inputs'!$B$17,'Inputs'!$I$6:$I$14)</x:f>
        <x:v>-22736320</x:v>
      </x:c>
      <x:c r="AA16" s="79" t="n">
        <x:f>Z16+(MIN(F16,'Inputs'!$B$17*'Inputs'!$B$16)*'Inputs'!$B$10-'Inputs'!$B$17*'Inputs'!$B$16*'Inputs'!$B$11-'Inputs'!$B$12)/(1+'Inputs'!$B$22)^1+(MIN(G16,'Inputs'!$B$17*'Inputs'!$B$16)*'Inputs'!$B$10-'Inputs'!$B$17*'Inputs'!$B$16*'Inputs'!$B$11-'Inputs'!$B$12)/(1+'Inputs'!$B$22)^2+(MIN(H16,'Inputs'!$B$17*'Inputs'!$B$16)*'Inputs'!$B$10-'Inputs'!$B$17*'Inputs'!$B$16*'Inputs'!$B$11-'Inputs'!$B$12)/(1+'Inputs'!$B$22)^3+(MIN(I16,'Inputs'!$B$17*'Inputs'!$B$16)*'Inputs'!$B$10-'Inputs'!$B$17*'Inputs'!$B$16*'Inputs'!$B$11-'Inputs'!$B$12)/(1+'Inputs'!$B$22)^4+(MIN(J16,'Inputs'!$B$17*'Inputs'!$B$16)*'Inputs'!$B$10-'Inputs'!$B$17*'Inputs'!$B$16*'Inputs'!$B$11-'Inputs'!$B$12)/(1+'Inputs'!$B$22)^5+(MIN(K16,'Inputs'!$B$17*'Inputs'!$B$16)*'Inputs'!$B$10-'Inputs'!$B$17*'Inputs'!$B$16*'Inputs'!$B$11-'Inputs'!$B$12)/(1+'Inputs'!$B$22)^6+(MIN(L16,'Inputs'!$B$17*'Inputs'!$B$16)*'Inputs'!$B$10-'Inputs'!$B$17*'Inputs'!$B$16*'Inputs'!$B$11-'Inputs'!$B$12)/(1+'Inputs'!$B$22)^7+(MIN(M16,'Inputs'!$B$17*'Inputs'!$B$16)*'Inputs'!$B$10-'Inputs'!$B$17*'Inputs'!$B$16*'Inputs'!$B$11-'Inputs'!$B$12)/(1+'Inputs'!$B$22)^8+(MIN(N16,'Inputs'!$B$17*'Inputs'!$B$16)*'Inputs'!$B$10-'Inputs'!$B$17*'Inputs'!$B$16*'Inputs'!$B$11-'Inputs'!$B$12)/(1+'Inputs'!$B$22)^9+(MIN(O16,'Inputs'!$B$17*'Inputs'!$B$16)*'Inputs'!$B$10-'Inputs'!$B$17*'Inputs'!$B$16*'Inputs'!$B$11-'Inputs'!$B$12)/(1+'Inputs'!$B$22)^10+(MIN(P16,'Inputs'!$B$17*'Inputs'!$B$16)*'Inputs'!$B$10-'Inputs'!$B$17*'Inputs'!$B$16*'Inputs'!$B$11-'Inputs'!$B$12)/(1+'Inputs'!$B$22)^11+(MIN(Q16,'Inputs'!$B$17*'Inputs'!$B$16)*'Inputs'!$B$10-'Inputs'!$B$17*'Inputs'!$B$16*'Inputs'!$B$11-'Inputs'!$B$12)/(1+'Inputs'!$B$22)^12+(MIN(R16,'Inputs'!$B$17*'Inputs'!$B$16)*'Inputs'!$B$10-'Inputs'!$B$17*'Inputs'!$B$16*'Inputs'!$B$11-'Inputs'!$B$12)/(1+'Inputs'!$B$22)^13+(MIN(S16,'Inputs'!$B$17*'Inputs'!$B$16)*'Inputs'!$B$10-'Inputs'!$B$17*'Inputs'!$B$16*'Inputs'!$B$11-'Inputs'!$B$12)/(1+'Inputs'!$B$22)^14+(MIN(T16,'Inputs'!$B$17*'Inputs'!$B$16)*'Inputs'!$B$10-'Inputs'!$B$17*'Inputs'!$B$16*'Inputs'!$B$11-'Inputs'!$B$12)/(1+'Inputs'!$B$22)^15+(MIN(U16,'Inputs'!$B$17*'Inputs'!$B$16)*'Inputs'!$B$10-'Inputs'!$B$17*'Inputs'!$B$16*'Inputs'!$B$11-'Inputs'!$B$12)/(1+'Inputs'!$B$22)^16+(MIN(V16,'Inputs'!$B$17*'Inputs'!$B$16)*'Inputs'!$B$10-'Inputs'!$B$17*'Inputs'!$B$16*'Inputs'!$B$11-'Inputs'!$B$12)/(1+'Inputs'!$B$22)^17+(MIN(W16,'Inputs'!$B$17*'Inputs'!$B$16)*'Inputs'!$B$10-'Inputs'!$B$17*'Inputs'!$B$16*'Inputs'!$B$11-'Inputs'!$B$12)/(1+'Inputs'!$B$22)^18+(MIN(X16,'Inputs'!$B$17*'Inputs'!$B$16)*'Inputs'!$B$10-'Inputs'!$B$17*'Inputs'!$B$16*'Inputs'!$B$11-'Inputs'!$B$12)/(1+'Inputs'!$B$22)^19+(MIN(Y16,'Inputs'!$B$17*'Inputs'!$B$16)*'Inputs'!$B$10-'Inputs'!$B$17*'Inputs'!$B$16*'Inputs'!$B$11-'Inputs'!$B$12)/(1+'Inputs'!$B$22)^20</x:f>
        <x:v>21410698.888822697</x:v>
      </x:c>
    </x:row>
    <x:row r="17">
      <x:c r="A17" s="14" t="str">
        <x:v>High opening / High growth</x:v>
      </x:c>
      <x:c r="B17" s="116" t="n">
        <x:f>1+'Inputs'!$B$23</x:f>
        <x:v>1.5</x:v>
      </x:c>
      <x:c r="C17" s="116" t="n">
        <x:f>1+'Inputs'!$B$23</x:f>
        <x:v>1.5</x:v>
      </x:c>
      <x:c r="D17" s="68" t="n">
        <x:f>'Inputs'!$B$6*B17+('Inputs'!$B$7+'Inputs'!$B$8)*C17</x:f>
        <x:v>2625</x:v>
      </x:c>
      <x:c r="E17" s="69" t="n">
        <x:f>LN((D17-'Inputs'!$B$6*B17)/(D17-('Inputs'!$B$6*B17+'Inputs'!$B$7*C17)))/9</x:f>
        <x:v>0.15403270679109896</x:v>
      </x:c>
      <x:c r="F17" s="68" t="n">
        <x:f>D17-(D17-'Inputs'!$B$6*B17)*EXP(-E17*(1-1))</x:f>
        <x:v>1125</x:v>
      </x:c>
      <x:c r="G17" s="68" t="n">
        <x:f>D17-(D17-'Inputs'!$B$6*B17)*EXP(-E17*(2-1))</x:f>
        <x:v>1339.1340257203908</x:v>
      </x:c>
      <x:c r="H17" s="68" t="n">
        <x:f>D17-(D17-'Inputs'!$B$6*B17)*EXP(-E17*(3-1))</x:f>
        <x:v>1522.6991307933008</x:v>
      </x:c>
      <x:c r="I17" s="68" t="n">
        <x:f>D17-(D17-'Inputs'!$B$6*B17)*EXP(-E17*(4-1))</x:f>
        <x:v>1680.059212578845</x:v>
      </x:c>
      <x:c r="J17" s="68" t="n">
        <x:f>D17-(D17-'Inputs'!$B$6*B17)*EXP(-E17*(5-1))</x:f>
        <x:v>1814.9551958307704</x:v>
      </x:c>
      <x:c r="K17" s="68" t="n">
        <x:f>D17-(D17-'Inputs'!$B$6*B17)*EXP(-E17*(6-1))</x:f>
        <x:v>1930.5939657845322</x:v>
      </x:c>
      <x:c r="L17" s="68" t="n">
        <x:f>D17-(D17-'Inputs'!$B$6*B17)*EXP(-E17*(7-1))</x:f>
        <x:v>2029.7246055119253</x:v>
      </x:c>
      <x:c r="M17" s="68" t="n">
        <x:f>D17-(D17-'Inputs'!$B$6*B17)*EXP(-E17*(8-1))</x:f>
        <x:v>2114.703749934609</x:v>
      </x:c>
      <x:c r="N17" s="68" t="n">
        <x:f>D17-(D17-'Inputs'!$B$6*B17)*EXP(-E17*(9-1))</x:f>
        <x:v>2187.5516101589565</x:v>
      </x:c>
      <x:c r="O17" s="68" t="n">
        <x:f>D17-(D17-'Inputs'!$B$6*B17)*EXP(-E17*(10-1))</x:f>
        <x:v>2250</x:v>
      </x:c>
      <x:c r="P17" s="68" t="n">
        <x:f>D17-(D17-'Inputs'!$B$6*B17)*EXP(-E17*(11-1))</x:f>
        <x:v>2303.5335064300975</x:v>
      </x:c>
      <x:c r="Q17" s="68" t="n">
        <x:f>D17-(D17-'Inputs'!$B$6*B17)*EXP(-E17*(12-1))</x:f>
        <x:v>2349.424782698325</x:v>
      </x:c>
      <x:c r="R17" s="68" t="n">
        <x:f>D17-(D17-'Inputs'!$B$6*B17)*EXP(-E17*(13-1))</x:f>
        <x:v>2388.7648031447115</x:v>
      </x:c>
      <x:c r="S17" s="68" t="n">
        <x:f>D17-(D17-'Inputs'!$B$6*B17)*EXP(-E17*(14-1))</x:f>
        <x:v>2422.488798957693</x:v>
      </x:c>
      <x:c r="T17" s="68" t="n">
        <x:f>D17-(D17-'Inputs'!$B$6*B17)*EXP(-E17*(15-1))</x:f>
        <x:v>2451.398491446133</x:v>
      </x:c>
      <x:c r="U17" s="68" t="n">
        <x:f>D17-(D17-'Inputs'!$B$6*B17)*EXP(-E17*(16-1))</x:f>
        <x:v>2476.181151377981</x:v>
      </x:c>
      <x:c r="V17" s="68" t="n">
        <x:f>D17-(D17-'Inputs'!$B$6*B17)*EXP(-E17*(17-1))</x:f>
        <x:v>2497.425937483652</x:v>
      </x:c>
      <x:c r="W17" s="68" t="n">
        <x:f>D17-(D17-'Inputs'!$B$6*B17)*EXP(-E17*(18-1))</x:f>
        <x:v>2515.637902539739</x:v>
      </x:c>
      <x:c r="X17" s="68" t="n">
        <x:f>D17-(D17-'Inputs'!$B$6*B17)*EXP(-E17*(19-1))</x:f>
        <x:v>2531.25</x:v>
      </x:c>
      <x:c r="Y17" s="68" t="n">
        <x:f>D17-(D17-'Inputs'!$B$6*B17)*EXP(-E17*(20-1))</x:f>
        <x:v>2544.6333766075245</x:v>
      </x:c>
      <x:c r="Z17" s="79" t="n">
        <x:f>-SUMIF('Inputs'!$H$6:$H$14,"&lt;="&amp;'Inputs'!$B$17,'Inputs'!$I$6:$I$14)</x:f>
        <x:v>-22736320</x:v>
      </x:c>
      <x:c r="AA17" s="79" t="n">
        <x:f>Z17+(MIN(F17,'Inputs'!$B$17*'Inputs'!$B$16)*'Inputs'!$B$10-'Inputs'!$B$17*'Inputs'!$B$16*'Inputs'!$B$11-'Inputs'!$B$12)/(1+'Inputs'!$B$22)^1+(MIN(G17,'Inputs'!$B$17*'Inputs'!$B$16)*'Inputs'!$B$10-'Inputs'!$B$17*'Inputs'!$B$16*'Inputs'!$B$11-'Inputs'!$B$12)/(1+'Inputs'!$B$22)^2+(MIN(H17,'Inputs'!$B$17*'Inputs'!$B$16)*'Inputs'!$B$10-'Inputs'!$B$17*'Inputs'!$B$16*'Inputs'!$B$11-'Inputs'!$B$12)/(1+'Inputs'!$B$22)^3+(MIN(I17,'Inputs'!$B$17*'Inputs'!$B$16)*'Inputs'!$B$10-'Inputs'!$B$17*'Inputs'!$B$16*'Inputs'!$B$11-'Inputs'!$B$12)/(1+'Inputs'!$B$22)^4+(MIN(J17,'Inputs'!$B$17*'Inputs'!$B$16)*'Inputs'!$B$10-'Inputs'!$B$17*'Inputs'!$B$16*'Inputs'!$B$11-'Inputs'!$B$12)/(1+'Inputs'!$B$22)^5+(MIN(K17,'Inputs'!$B$17*'Inputs'!$B$16)*'Inputs'!$B$10-'Inputs'!$B$17*'Inputs'!$B$16*'Inputs'!$B$11-'Inputs'!$B$12)/(1+'Inputs'!$B$22)^6+(MIN(L17,'Inputs'!$B$17*'Inputs'!$B$16)*'Inputs'!$B$10-'Inputs'!$B$17*'Inputs'!$B$16*'Inputs'!$B$11-'Inputs'!$B$12)/(1+'Inputs'!$B$22)^7+(MIN(M17,'Inputs'!$B$17*'Inputs'!$B$16)*'Inputs'!$B$10-'Inputs'!$B$17*'Inputs'!$B$16*'Inputs'!$B$11-'Inputs'!$B$12)/(1+'Inputs'!$B$22)^8+(MIN(N17,'Inputs'!$B$17*'Inputs'!$B$16)*'Inputs'!$B$10-'Inputs'!$B$17*'Inputs'!$B$16*'Inputs'!$B$11-'Inputs'!$B$12)/(1+'Inputs'!$B$22)^9+(MIN(O17,'Inputs'!$B$17*'Inputs'!$B$16)*'Inputs'!$B$10-'Inputs'!$B$17*'Inputs'!$B$16*'Inputs'!$B$11-'Inputs'!$B$12)/(1+'Inputs'!$B$22)^10+(MIN(P17,'Inputs'!$B$17*'Inputs'!$B$16)*'Inputs'!$B$10-'Inputs'!$B$17*'Inputs'!$B$16*'Inputs'!$B$11-'Inputs'!$B$12)/(1+'Inputs'!$B$22)^11+(MIN(Q17,'Inputs'!$B$17*'Inputs'!$B$16)*'Inputs'!$B$10-'Inputs'!$B$17*'Inputs'!$B$16*'Inputs'!$B$11-'Inputs'!$B$12)/(1+'Inputs'!$B$22)^12+(MIN(R17,'Inputs'!$B$17*'Inputs'!$B$16)*'Inputs'!$B$10-'Inputs'!$B$17*'Inputs'!$B$16*'Inputs'!$B$11-'Inputs'!$B$12)/(1+'Inputs'!$B$22)^13+(MIN(S17,'Inputs'!$B$17*'Inputs'!$B$16)*'Inputs'!$B$10-'Inputs'!$B$17*'Inputs'!$B$16*'Inputs'!$B$11-'Inputs'!$B$12)/(1+'Inputs'!$B$22)^14+(MIN(T17,'Inputs'!$B$17*'Inputs'!$B$16)*'Inputs'!$B$10-'Inputs'!$B$17*'Inputs'!$B$16*'Inputs'!$B$11-'Inputs'!$B$12)/(1+'Inputs'!$B$22)^15+(MIN(U17,'Inputs'!$B$17*'Inputs'!$B$16)*'Inputs'!$B$10-'Inputs'!$B$17*'Inputs'!$B$16*'Inputs'!$B$11-'Inputs'!$B$12)/(1+'Inputs'!$B$22)^16+(MIN(V17,'Inputs'!$B$17*'Inputs'!$B$16)*'Inputs'!$B$10-'Inputs'!$B$17*'Inputs'!$B$16*'Inputs'!$B$11-'Inputs'!$B$12)/(1+'Inputs'!$B$22)^17+(MIN(W17,'Inputs'!$B$17*'Inputs'!$B$16)*'Inputs'!$B$10-'Inputs'!$B$17*'Inputs'!$B$16*'Inputs'!$B$11-'Inputs'!$B$12)/(1+'Inputs'!$B$22)^18+(MIN(X17,'Inputs'!$B$17*'Inputs'!$B$16)*'Inputs'!$B$10-'Inputs'!$B$17*'Inputs'!$B$16*'Inputs'!$B$11-'Inputs'!$B$12)/(1+'Inputs'!$B$22)^19+(MIN(Y17,'Inputs'!$B$17*'Inputs'!$B$16)*'Inputs'!$B$10-'Inputs'!$B$17*'Inputs'!$B$16*'Inputs'!$B$11-'Inputs'!$B$12)/(1+'Inputs'!$B$22)^20</x:f>
        <x:v>21410698.888822697</x:v>
      </x:c>
    </x:row>
  </x:sheetData>
  <x:mergeCells>
    <x:mergeCell ref="A1:AA2"/>
    <x:mergeCell ref="A4:AA6"/>
  </x:mergeCells>
  <x:conditionalFormatting sqref="AA9:AA17">
    <x:cfRule type="colorScale" priority="1">
      <x:colorScale>
        <x:cfvo type="min"/>
        <x:cfvo type="percentile" val="50"/>
        <x:cfvo type="max"/>
        <x:color rgb="FFF8696B"/>
        <x:color rgb="FFFFEB84"/>
        <x:color rgb="FF63BE7B"/>
      </x:colorScale>
    </x:cfRule>
  </x:conditionalFormatting>
  <x:pageMargins left="0.7" right="0.7" top="0.75" bottom="0.75" header="0.3" footer="0.3"/>
  <x:drawing xmlns:r="http://schemas.openxmlformats.org/officeDocument/2006/relationships" r:id="Rfff302bce12f4d64"/>
</x:worksheet>
</file>

<file path=xl/worksheets/sheet8.xml><?xml version="1.0" encoding="utf-8"?>
<x:worksheet xmlns:x="http://schemas.openxmlformats.org/spreadsheetml/2006/main">
  <x:sheetViews>
    <x:sheetView showGridLines="0" workbookViewId="0"/>
  </x:sheetViews>
  <x:sheetFormatPr defaultRowHeight="15"/>
  <x:cols>
    <x:col min="1" max="1" width="40" hidden="0" customWidth="1"/>
    <x:col min="2" max="2" width="16" hidden="0" customWidth="1"/>
    <x:col min="3" max="3" width="16" hidden="0" customWidth="1"/>
    <x:col min="4" max="4" width="16" hidden="0" customWidth="1"/>
    <x:col min="5" max="5" width="16" hidden="0" customWidth="1"/>
    <x:col min="6" max="6" width="15" hidden="0" customWidth="1"/>
    <x:col min="7" max="7" width="38" hidden="0" customWidth="1"/>
  </x:cols>
  <x:sheetData>
    <x:row r="1" ht="34" customHeight="1">
      <x:c r="A1" s="3" t="str">
        <x:v>Model Checks — review before interpreting results</x:v>
      </x:c>
      <x:c r="B1" s="3" t="str">
        <x:v>Model Checks — review before interpreting results</x:v>
      </x:c>
      <x:c r="C1" s="3" t="str">
        <x:v>Model Checks — review before interpreting results</x:v>
      </x:c>
      <x:c r="D1" s="3" t="str">
        <x:v>Model Checks — review before interpreting results</x:v>
      </x:c>
      <x:c r="E1" s="3" t="str">
        <x:v>Model Checks — review before interpreting results</x:v>
      </x:c>
      <x:c r="F1" s="3" t="str">
        <x:v>Model Checks — review before interpreting results</x:v>
      </x:c>
      <x:c r="G1" s="3" t="str">
        <x:v>Model Checks — review before interpreting results</x:v>
      </x:c>
    </x:row>
    <x:row r="2" ht="34" customHeight="1">
      <x:c r="A2" s="3" t="str">
        <x:v>Model Checks — review before interpreting results</x:v>
      </x:c>
      <x:c r="B2" s="3" t="str">
        <x:v>Model Checks — review before interpreting results</x:v>
      </x:c>
      <x:c r="C2" s="3" t="str">
        <x:v>Model Checks — review before interpreting results</x:v>
      </x:c>
      <x:c r="D2" s="3" t="str">
        <x:v>Model Checks — review before interpreting results</x:v>
      </x:c>
      <x:c r="E2" s="3" t="str">
        <x:v>Model Checks — review before interpreting results</x:v>
      </x:c>
      <x:c r="F2" s="3" t="str">
        <x:v>Model Checks — review before interpreting results</x:v>
      </x:c>
      <x:c r="G2" s="3" t="str">
        <x:v>Model Checks — review before interpreting results</x:v>
      </x:c>
    </x:row>
    <x:row r="4">
      <x:c r="A4" s="46" t="str">
        <x:v>Check</x:v>
      </x:c>
      <x:c r="B4" s="46" t="str">
        <x:v>Actual</x:v>
      </x:c>
      <x:c r="C4" s="46" t="str">
        <x:v>Expected</x:v>
      </x:c>
      <x:c r="D4" s="46" t="str">
        <x:v>Difference</x:v>
      </x:c>
      <x:c r="E4" s="46" t="str">
        <x:v>Tolerance</x:v>
      </x:c>
      <x:c r="F4" s="46" t="str">
        <x:v>Status</x:v>
      </x:c>
      <x:c r="G4" s="46" t="str">
        <x:v>Fix hint</x:v>
      </x:c>
    </x:row>
    <x:row r="5">
      <x:c r="A5" s="14" t="str">
        <x:v>Six-level construction cost at base assumptions</x:v>
      </x:c>
      <x:c r="B5" s="25" t="n">
        <x:f>SUMIF('Inputs'!$H$6:$H$14,"&lt;=6",'Inputs'!$I$6:$I$14)</x:f>
        <x:v>22736320</x:v>
      </x:c>
      <x:c r="C5" s="25" t="n">
        <x:f>22736320</x:f>
        <x:v>22736320</x:v>
      </x:c>
      <x:c r="D5" s="25" t="n">
        <x:f>B5-C5</x:f>
        <x:v>0</x:v>
      </x:c>
      <x:c r="E5" s="25" t="n">
        <x:f>1</x:f>
        <x:v>1</x:v>
      </x:c>
      <x:c r="F5" s="23" t="str">
        <x:f>IF(ABS(D5)&lt;=E5,"OK","CHECK")</x:f>
        <x:v>OK</x:v>
      </x:c>
      <x:c r="G5" s="15" t="str">
        <x:v>Restore base cost, escalation, and capacity assumptions</x:v>
      </x:c>
    </x:row>
    <x:row r="6">
      <x:c r="A6" s="14" t="str">
        <x:v>Fixed capacity calculation</x:v>
      </x:c>
      <x:c r="B6" s="25" t="n">
        <x:f>'Deterministic'!C7</x:f>
        <x:v>1200</x:v>
      </x:c>
      <x:c r="C6" s="25" t="n">
        <x:f>'Inputs'!B17*'Inputs'!B16</x:f>
        <x:v>1200</x:v>
      </x:c>
      <x:c r="D6" s="25" t="n">
        <x:f>B6-C6</x:f>
        <x:v>0</x:v>
      </x:c>
      <x:c r="E6" s="25" t="n">
        <x:f>0</x:f>
        <x:v>0</x:v>
      </x:c>
      <x:c r="F6" s="23" t="str">
        <x:f>IF(ABS(D6)&lt;=E6,"OK","CHECK")</x:f>
        <x:v>OK</x:v>
      </x:c>
      <x:c r="G6" s="15" t="str">
        <x:v>Check levels and spaces per level</x:v>
      </x:c>
    </x:row>
    <x:row r="7">
      <x:c r="A7" s="14" t="str">
        <x:v>Flexible start does not exceed maximum</x:v>
      </x:c>
      <x:c r="B7" s="25" t="n">
        <x:f>'Inputs'!B18</x:f>
        <x:v>4</x:v>
      </x:c>
      <x:c r="C7" s="25" t="n">
        <x:f>'Inputs'!B19</x:f>
        <x:v>9</x:v>
      </x:c>
      <x:c r="D7" s="25" t="n">
        <x:f>B7-C7</x:f>
        <x:v>-5</x:v>
      </x:c>
      <x:c r="E7" s="25" t="n">
        <x:f>0</x:f>
        <x:v>0</x:v>
      </x:c>
      <x:c r="F7" s="23" t="str">
        <x:f>IF(B7&lt;=C7,"OK","CHECK")</x:f>
        <x:v>OK</x:v>
      </x:c>
      <x:c r="G7" s="15" t="str">
        <x:v>Reduce flexible initial levels or raise maximum</x:v>
      </x:c>
    </x:row>
    <x:row r="8">
      <x:c r="A8" s="14" t="str">
        <x:v>Expansion increment is positive</x:v>
      </x:c>
      <x:c r="B8" s="25" t="n">
        <x:f>'Inputs'!B27</x:f>
        <x:v>1</x:v>
      </x:c>
      <x:c r="C8" s="25" t="n">
        <x:f>1</x:f>
        <x:v>1</x:v>
      </x:c>
      <x:c r="D8" s="25" t="n">
        <x:f>B8-C8</x:f>
        <x:v>0</x:v>
      </x:c>
      <x:c r="E8" s="25" t="n">
        <x:f>0</x:f>
        <x:v>0</x:v>
      </x:c>
      <x:c r="F8" s="23" t="str">
        <x:f>IF(B8&gt;0,"OK","CHECK")</x:f>
        <x:v>OK</x:v>
      </x:c>
      <x:c r="G8" s="15" t="str">
        <x:v>Set expansion increment to at least 1</x:v>
      </x:c>
    </x:row>
    <x:row r="9">
      <x:c r="A9" s="14" t="str">
        <x:v>Discount rate is between 0% and 100%</x:v>
      </x:c>
      <x:c r="B9" s="25" t="n">
        <x:f>'Inputs'!B22</x:f>
        <x:v>0.12</x:v>
      </x:c>
      <x:c r="C9" s="25" t="n">
        <x:f>0.5</x:f>
        <x:v>0.5</x:v>
      </x:c>
      <x:c r="D9" s="25" t="n">
        <x:f>B9-C9</x:f>
        <x:v>-0.38</x:v>
      </x:c>
      <x:c r="E9" s="25" t="n">
        <x:f>0.5</x:f>
        <x:v>0.5</x:v>
      </x:c>
      <x:c r="F9" s="23" t="str">
        <x:f>IF(AND(B9&gt;0,B9&lt;1),"OK","CHECK")</x:f>
        <x:v>OK</x:v>
      </x:c>
      <x:c r="G9" s="15" t="str">
        <x:v>Use a rate above 0% and below 100%</x:v>
      </x:c>
    </x:row>
    <x:row r="10">
      <x:c r="A10" s="14" t="str">
        <x:v>Scenario multipliers are positive</x:v>
      </x:c>
      <x:c r="B10" s="25" t="n">
        <x:f>MIN('Scenario Explorer'!B5:B7)</x:f>
        <x:v>1</x:v>
      </x:c>
      <x:c r="C10" s="25" t="n">
        <x:f>0</x:f>
        <x:v>0</x:v>
      </x:c>
      <x:c r="D10" s="25" t="n">
        <x:f>B10-C10</x:f>
        <x:v>1</x:v>
      </x:c>
      <x:c r="E10" s="25" t="n">
        <x:f>0</x:f>
        <x:v>0</x:v>
      </x:c>
      <x:c r="F10" s="23" t="str">
        <x:f>IF(B10&gt;0,"OK","CHECK")</x:f>
        <x:v>OK</x:v>
      </x:c>
      <x:c r="G10" s="15" t="str">
        <x:v>Use multipliers above zero</x:v>
      </x:c>
    </x:row>
    <x:row r="11">
      <x:c r="A11" s="14" t="str">
        <x:v>Used capacity never exceeds built capacity</x:v>
      </x:c>
      <x:c r="B11" s="25" t="n">
        <x:f>MAX('Flexible Design'!C14:V14)</x:f>
        <x:v>1696.422251071683</x:v>
      </x:c>
      <x:c r="C11" s="25" t="n">
        <x:f>MAX('Flexible Design'!C12:V12)</x:f>
        <x:v>1800</x:v>
      </x:c>
      <x:c r="D11" s="25" t="n">
        <x:f>B11-C11</x:f>
        <x:v>-103.57774892831708</x:v>
      </x:c>
      <x:c r="E11" s="25" t="n">
        <x:f>0</x:f>
        <x:v>0</x:v>
      </x:c>
      <x:c r="F11" s="23" t="str">
        <x:f>IF(D11&lt;=0,"OK","CHECK")</x:f>
        <x:v>OK</x:v>
      </x:c>
      <x:c r="G11" s="15" t="str">
        <x:v>Review expansion rule and capacity formulas</x:v>
      </x:c>
    </x:row>
    <x:row r="13" ht="24" customHeight="1">
      <x:c r="A13" s="8" t="str">
        <x:v>Overall status</x:v>
      </x:c>
      <x:c r="B13" s="8" t="str">
        <x:v>Overall status</x:v>
      </x:c>
      <x:c r="C13" s="8" t="str">
        <x:v>Overall status</x:v>
      </x:c>
      <x:c r="D13" s="8" t="str">
        <x:v>Overall status</x:v>
      </x:c>
      <x:c r="E13" s="8" t="str">
        <x:v>Overall status</x:v>
      </x:c>
      <x:c r="F13" s="8" t="str">
        <x:v>Overall status</x:v>
      </x:c>
      <x:c r="G13" s="8" t="str">
        <x:v>Overall status</x:v>
      </x:c>
    </x:row>
    <x:row r="14">
      <x:c r="A14" s="117" t="str">
        <x:f>IF(COUNTIF(F5:F11,"CHECK")=0,"MODEL CHECKS: OK","MODEL CHECKS: REVIEW REQUIRED")</x:f>
        <x:v>MODEL CHECKS: OK</x:v>
      </x:c>
      <x:c r="B14" s="118"/>
      <x:c r="D14" s="32" t="str">
        <x:v>A passing check confirms the workbook is internally consistent under the listed tests. It does not mean the assumptions are correct for a real project. The garage is a teaching case, not investment advice or an engineering design.</x:v>
      </x:c>
      <x:c r="E14" s="33" t="str">
        <x:v>A passing check confirms the workbook is internally consistent under the listed tests. It does not mean the assumptions are correct for a real project. The garage is a teaching case, not investment advice or an engineering design.</x:v>
      </x:c>
      <x:c r="F14" s="33" t="str">
        <x:v>A passing check confirms the workbook is internally consistent under the listed tests. It does not mean the assumptions are correct for a real project. The garage is a teaching case, not investment advice or an engineering design.</x:v>
      </x:c>
      <x:c r="G14" s="34" t="str">
        <x:v>A passing check confirms the workbook is internally consistent under the listed tests. It does not mean the assumptions are correct for a real project. The garage is a teaching case, not investment advice or an engineering design.</x:v>
      </x:c>
    </x:row>
    <x:row r="15">
      <x:c r="A15" s="119"/>
      <x:c r="B15" s="120"/>
      <x:c r="D15" s="35" t="str">
        <x:v>A passing check confirms the workbook is internally consistent under the listed tests. It does not mean the assumptions are correct for a real project. The garage is a teaching case, not investment advice or an engineering design.</x:v>
      </x:c>
      <x:c r="E15" s="31" t="str">
        <x:v>A passing check confirms the workbook is internally consistent under the listed tests. It does not mean the assumptions are correct for a real project. The garage is a teaching case, not investment advice or an engineering design.</x:v>
      </x:c>
      <x:c r="F15" s="31" t="str">
        <x:v>A passing check confirms the workbook is internally consistent under the listed tests. It does not mean the assumptions are correct for a real project. The garage is a teaching case, not investment advice or an engineering design.</x:v>
      </x:c>
      <x:c r="G15" s="36" t="str">
        <x:v>A passing check confirms the workbook is internally consistent under the listed tests. It does not mean the assumptions are correct for a real project. The garage is a teaching case, not investment advice or an engineering design.</x:v>
      </x:c>
    </x:row>
    <x:row r="16">
      <x:c r="D16" s="35" t="str">
        <x:v>A passing check confirms the workbook is internally consistent under the listed tests. It does not mean the assumptions are correct for a real project. The garage is a teaching case, not investment advice or an engineering design.</x:v>
      </x:c>
      <x:c r="E16" s="31" t="str">
        <x:v>A passing check confirms the workbook is internally consistent under the listed tests. It does not mean the assumptions are correct for a real project. The garage is a teaching case, not investment advice or an engineering design.</x:v>
      </x:c>
      <x:c r="F16" s="31" t="str">
        <x:v>A passing check confirms the workbook is internally consistent under the listed tests. It does not mean the assumptions are correct for a real project. The garage is a teaching case, not investment advice or an engineering design.</x:v>
      </x:c>
      <x:c r="G16" s="36" t="str">
        <x:v>A passing check confirms the workbook is internally consistent under the listed tests. It does not mean the assumptions are correct for a real project. The garage is a teaching case, not investment advice or an engineering design.</x:v>
      </x:c>
    </x:row>
    <x:row r="17">
      <x:c r="D17" s="37" t="str">
        <x:v>A passing check confirms the workbook is internally consistent under the listed tests. It does not mean the assumptions are correct for a real project. The garage is a teaching case, not investment advice or an engineering design.</x:v>
      </x:c>
      <x:c r="E17" s="38" t="str">
        <x:v>A passing check confirms the workbook is internally consistent under the listed tests. It does not mean the assumptions are correct for a real project. The garage is a teaching case, not investment advice or an engineering design.</x:v>
      </x:c>
      <x:c r="F17" s="38" t="str">
        <x:v>A passing check confirms the workbook is internally consistent under the listed tests. It does not mean the assumptions are correct for a real project. The garage is a teaching case, not investment advice or an engineering design.</x:v>
      </x:c>
      <x:c r="G17" s="39" t="str">
        <x:v>A passing check confirms the workbook is internally consistent under the listed tests. It does not mean the assumptions are correct for a real project. The garage is a teaching case, not investment advice or an engineering design.</x:v>
      </x:c>
    </x:row>
  </x:sheetData>
  <x:mergeCells>
    <x:mergeCell ref="A1:G2"/>
    <x:mergeCell ref="A13:G13"/>
    <x:mergeCell ref="A14:B15"/>
    <x:mergeCell ref="D14:G17"/>
  </x:mergeCells>
  <x:conditionalFormatting sqref="F5:F11">
    <x:cfRule type="containsText" dxfId="1" priority="1" operator="containsText" text="OK"/>
    <x:cfRule type="containsText" dxfId="2" priority="2" operator="containsText" text="CHECK"/>
  </x:conditionalFormatting>
  <x:pageMargins left="0.7" right="0.7" top="0.75" bottom="0.75" header="0.3" footer="0.3"/>
</x:worksheet>
</file>